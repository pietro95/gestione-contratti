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atti" sheetId="2" state="visible" r:id="rId2"/>
    <sheet xmlns:r="http://schemas.openxmlformats.org/officeDocument/2006/relationships" name="Contratti Dissalatori" sheetId="3" state="visible" r:id="rId3"/>
    <sheet xmlns:r="http://schemas.openxmlformats.org/officeDocument/2006/relationships" name="Stati" sheetId="4" state="visible" r:id="rId4"/>
    <sheet xmlns:r="http://schemas.openxmlformats.org/officeDocument/2006/relationships" name="Fornit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10]mmmm\-yy;@"/>
    <numFmt numFmtId="165" formatCode="_-* #,##0.00\ &quot;€&quot;_-;\-* #,##0.00\ &quot;€&quot;_-;_-* &quot;-&quot;??\ &quot;€&quot;_-;_-@_-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ella4" displayName="Tabella4" ref="F2:H7" headerRowCount="1">
  <autoFilter ref="F2:H7"/>
  <tableColumns count="3">
    <tableColumn id="6" name="Anno"/>
    <tableColumn id="7" name="Minimo"/>
    <tableColumn id="8" name="Massimo"/>
  </tableColumns>
</table>
</file>

<file path=xl/tables/table2.xml><?xml version="1.0" encoding="utf-8"?>
<table xmlns="http://schemas.openxmlformats.org/spreadsheetml/2006/main" id="2" name="Contratti" displayName="Contratti" ref="A1:Q68" headerRowCount="1" totalsRowCount="1">
  <autoFilter ref="A1:Q68"/>
  <tableColumns count="17">
    <tableColumn id="1" name="Contratto"/>
    <tableColumn id="2" name="Cig"/>
    <tableColumn id="3" name="Nuovo codice conto da 01/01/26"/>
    <tableColumn id="4" name="Codice conto"/>
    <tableColumn id="5" name="Descrizione"/>
    <tableColumn id="6" name="Fornitore"/>
    <tableColumn id="7" name="Codice fornitore"/>
    <tableColumn id="8" name="Corrispettivo Minimo"/>
    <tableColumn id="9" name="Corrispettivo Extra"/>
    <tableColumn id="10" name="Corrispettivo Massimo"/>
    <tableColumn id="11" name="Data di attivazione"/>
    <tableColumn id="12" name="Mesi contratto"/>
    <tableColumn id="13" name="Data di scadenza"/>
    <tableColumn id="14" name="Periodo rinnovo"/>
    <tableColumn id="15" name="Alert"/>
    <tableColumn id="16" name="Stato"/>
    <tableColumn id="17" name="Note"/>
  </tableColumns>
  <tableStyleInfo name="TableStyleMedium2" showRowStripes="1"/>
</table>
</file>

<file path=xl/tables/table3.xml><?xml version="1.0" encoding="utf-8"?>
<table xmlns="http://schemas.openxmlformats.org/spreadsheetml/2006/main" id="3" name="Tabella14" displayName="Tabella14" ref="A4:R6" headerRowCount="1" totalsRowCount="1">
  <autoFilter ref="A4:R6"/>
  <tableColumns count="18">
    <tableColumn id="1" name="Contratto"/>
    <tableColumn id="2" name="Cig"/>
    <tableColumn id="3" name="Nuovo codice conto da 01/01/26"/>
    <tableColumn id="4" name="Codice WBS"/>
    <tableColumn id="5" name="Codice conto"/>
    <tableColumn id="6" name="Descrizione"/>
    <tableColumn id="7" name="Fornitore"/>
    <tableColumn id="8" name="Codice fornitore"/>
    <tableColumn id="9" name="Corrispettivo Minimo"/>
    <tableColumn id="10" name="Corrispettivo Extra"/>
    <tableColumn id="11" name="Corrispettivo Massimo"/>
    <tableColumn id="12" name="Corrispettivo annuo"/>
    <tableColumn id="13" name="Data di attivazione"/>
    <tableColumn id="14" name="Mesi contratto"/>
    <tableColumn id="15" name="Data di scadenza"/>
    <tableColumn id="16" name="Periodo rinnovo"/>
    <tableColumn id="17" name="Stato"/>
    <tableColumn id="18" name="Note"/>
  </tableColumns>
  <tableStyleInfo name="TableStyleMedium2" showRowStripes="1"/>
</table>
</file>

<file path=xl/tables/table4.xml><?xml version="1.0" encoding="utf-8"?>
<table xmlns="http://schemas.openxmlformats.org/spreadsheetml/2006/main" id="4" name="Tabella2" displayName="Tabella2" ref="A1:B30" headerRowCount="1">
  <autoFilter ref="A1:B30"/>
  <tableColumns count="2">
    <tableColumn id="1" name="Fornitore"/>
    <tableColumn id="2" name="Codice SAP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Stato contratti IT</t>
        </is>
      </c>
      <c r="C1" t="inlineStr">
        <is>
          <t>🔴 Scaduti:</t>
        </is>
      </c>
      <c r="D1">
        <f>COUNTIF(Contratti[Alert],"🔴")</f>
        <v/>
      </c>
      <c r="F1" t="inlineStr">
        <is>
          <t>Ipotesi di spesa per singolo anno</t>
        </is>
      </c>
    </row>
    <row r="2">
      <c r="C2" t="inlineStr">
        <is>
          <t xml:space="preserve">🟠 Da rinnovare: </t>
        </is>
      </c>
      <c r="D2">
        <f>COUNTIF(Contratti[Alert],"🟠")</f>
        <v/>
      </c>
      <c r="F2" t="inlineStr">
        <is>
          <t>Anno</t>
        </is>
      </c>
      <c r="G2" t="inlineStr">
        <is>
          <t>Minimo</t>
        </is>
      </c>
      <c r="H2" t="inlineStr">
        <is>
          <t>Massimo</t>
        </is>
      </c>
    </row>
    <row r="3">
      <c r="C3" t="inlineStr">
        <is>
          <t xml:space="preserve">🟡 In avvicinamento:  </t>
        </is>
      </c>
      <c r="D3">
        <f>COUNTIF(Contratti[Alert],"🟡")</f>
        <v/>
      </c>
      <c r="F3" t="n">
        <v>2024</v>
      </c>
      <c r="G3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_xlpm.inizioAnno,DATE($F3,1,1),
            _xlpm.fineAnno,DATE($F3,12,31),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3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_xlpm.inizioAnno,DATE($F3,1,1),
            _xlpm.fineAnno,DATE($F3,12,31),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4">
      <c r="F4" t="n">
        <v>2025</v>
      </c>
      <c r="G4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_xlpm.inizioAnno,DATE($F4,1,1),
            _xlpm.fineAnno,DATE($F4,12,31),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4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_xlpm.inizioAnno,DATE($F4,1,1),
            _xlpm.fineAnno,DATE($F4,12,31),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5">
      <c r="A5" t="inlineStr">
        <is>
          <t>(Nel file originale qui c'è una tabella pivot, rimossa nel campione anonimizzato)</t>
        </is>
      </c>
      <c r="F5" t="n">
        <v>2026</v>
      </c>
      <c r="G5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_xlpm.inizioAnno,DATE($F5,1,1),
            _xlpm.fineAnno,DATE($F5,12,31),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5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_xlpm.inizioAnno,DATE($F5,1,1),
            _xlpm.fineAnno,DATE($F5,12,31),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6">
      <c r="F6" t="n">
        <v>2027</v>
      </c>
      <c r="G6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_xlpm.inizioAnno,DATE($F6,1,1),
            _xlpm.fineAnno,DATE($F6,12,31),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6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_xlpm.inizioAnno,DATE($F6,1,1),
            _xlpm.fineAnno,DATE($F6,12,31),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7">
      <c r="F7" t="n">
        <v>2028</v>
      </c>
      <c r="G7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_xlpm.inizioAnno,DATE($F7,1,1),
            _xlpm.fineAnno,DATE($F7,12,31),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7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_xlpm.inizioAnno,DATE($F7,1,1),
            _xlpm.fineAnno,DATE($F7,12,31),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cols>
    <col width="11.83203125" customWidth="1" min="1" max="1"/>
    <col width="12.5" customWidth="1" min="2" max="2"/>
    <col width="12.5" customWidth="1" min="3" max="3"/>
    <col width="9.1640625" customWidth="1" min="4" max="4"/>
    <col width="44.83203125" customWidth="1" min="5" max="5"/>
    <col width="28" customWidth="1" min="6" max="6"/>
    <col width="8.5" customWidth="1" min="7" max="7"/>
    <col width="17" customWidth="1" min="8" max="8"/>
    <col width="12.6640625" customWidth="1" min="9" max="9"/>
    <col width="17" customWidth="1" min="10" max="10"/>
    <col width="10.6640625" customWidth="1" min="11" max="11"/>
    <col width="8.6640625" customWidth="1" min="12" max="12"/>
    <col width="11.1640625" customWidth="1" min="13" max="13"/>
    <col width="12.5" customWidth="1" min="14" max="14"/>
    <col width="10.1640625" customWidth="1" min="15" max="15"/>
    <col width="14.6640625" customWidth="1" min="16" max="16"/>
    <col width="34.5" customWidth="1" min="17" max="17"/>
  </cols>
  <sheetData>
    <row r="1">
      <c r="A1" t="inlineStr">
        <is>
          <t>Contratto</t>
        </is>
      </c>
      <c r="B1" t="inlineStr">
        <is>
          <t>Cig</t>
        </is>
      </c>
      <c r="C1" t="inlineStr">
        <is>
          <t>Nuovo codice conto da 01/01/26</t>
        </is>
      </c>
      <c r="D1" s="1" t="inlineStr">
        <is>
          <t>Codice conto</t>
        </is>
      </c>
      <c r="E1" t="inlineStr">
        <is>
          <t>Descrizione</t>
        </is>
      </c>
      <c r="F1" t="inlineStr">
        <is>
          <t>Fornitore</t>
        </is>
      </c>
      <c r="G1" t="inlineStr">
        <is>
          <t>Codice fornitore</t>
        </is>
      </c>
      <c r="H1" t="inlineStr">
        <is>
          <t>Corrispettivo Minimo</t>
        </is>
      </c>
      <c r="I1" t="inlineStr">
        <is>
          <t>Corrispettivo Extra</t>
        </is>
      </c>
      <c r="J1" t="inlineStr">
        <is>
          <t>Corrispettivo Massimo</t>
        </is>
      </c>
      <c r="K1" s="2" t="inlineStr">
        <is>
          <t>Data di attivazione</t>
        </is>
      </c>
      <c r="L1" s="3" t="inlineStr">
        <is>
          <t>Mesi contratto</t>
        </is>
      </c>
      <c r="M1" s="2" t="inlineStr">
        <is>
          <t>Data di scadenza</t>
        </is>
      </c>
      <c r="N1" s="4" t="inlineStr">
        <is>
          <t>Periodo rinnovo</t>
        </is>
      </c>
      <c r="O1" s="4" t="inlineStr">
        <is>
          <t>Alert</t>
        </is>
      </c>
      <c r="P1" t="inlineStr">
        <is>
          <t>Stato</t>
        </is>
      </c>
      <c r="Q1" t="inlineStr">
        <is>
          <t>Note</t>
        </is>
      </c>
    </row>
    <row r="2">
      <c r="A2" t="inlineStr">
        <is>
          <t>OA1 197/22</t>
        </is>
      </c>
      <c r="B2" t="inlineStr">
        <is>
          <t>ZSL8RHBPY0</t>
        </is>
      </c>
      <c r="D2" s="1" t="n">
        <v>634935</v>
      </c>
      <c r="E2" t="inlineStr">
        <is>
          <t>Licenza software 01</t>
        </is>
      </c>
      <c r="F2" t="inlineStr">
        <is>
          <t>Fornitore 01 S.r.l.</t>
        </is>
      </c>
      <c r="G2">
        <f>IF(VLOOKUP(Contratti[[#This Row],[Fornitore]],Tabella2[],2,FALSE)=0,"n/d",VLOOKUP(Contratti[[#This Row],[Fornitore]],Tabella2[],2,FALSE))</f>
        <v/>
      </c>
      <c r="H2" s="5" t="n">
        <v>20623.04</v>
      </c>
      <c r="I2" s="5" t="n">
        <v>0</v>
      </c>
      <c r="J2" s="5">
        <f>Contratti[[#This Row],[Corrispettivo Minimo]]+Contratti[[#This Row],[Corrispettivo Extra]]</f>
        <v/>
      </c>
      <c r="K2" s="2" t="n">
        <v>44805</v>
      </c>
      <c r="L2" s="3" t="n">
        <v>36</v>
      </c>
      <c r="M2" s="2">
        <f>IF(Contratti[[#This Row],[Data di attivazione]]=0,"n/a",EDATE(Contratti[[#This Row],[Data di attivazione]],Contratti[[#This Row],[Mesi contratto]])-1)</f>
        <v/>
      </c>
      <c r="N2" s="4">
        <f>IF(Contratti[[#This Row],[Data di scadenza]]="n/a","n/a",EDATE(Contratti[[#This Row],[Data di scadenza]],-6))</f>
        <v/>
      </c>
      <c r="O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" t="inlineStr">
        <is>
          <t>Rinnovato</t>
        </is>
      </c>
    </row>
    <row r="3">
      <c r="A3" t="inlineStr">
        <is>
          <t>OA1 266/24</t>
        </is>
      </c>
      <c r="B3" t="inlineStr">
        <is>
          <t>BUZI9DIMJ8</t>
        </is>
      </c>
      <c r="D3" s="1" t="n">
        <v>634935</v>
      </c>
      <c r="E3" t="inlineStr">
        <is>
          <t>Licenza software 02</t>
        </is>
      </c>
      <c r="F3" t="inlineStr">
        <is>
          <t>Fornitore 02 S.r.l.</t>
        </is>
      </c>
      <c r="G3">
        <f>IF(VLOOKUP(Contratti[[#This Row],[Fornitore]],Tabella2[],2,FALSE)=0,"n/d",VLOOKUP(Contratti[[#This Row],[Fornitore]],Tabella2[],2,FALSE))</f>
        <v/>
      </c>
      <c r="H3" s="5" t="n">
        <v>230.85</v>
      </c>
      <c r="I3" s="5" t="n">
        <v>0</v>
      </c>
      <c r="J3" s="5">
        <f>Contratti[[#This Row],[Corrispettivo Minimo]]+Contratti[[#This Row],[Corrispettivo Extra]]</f>
        <v/>
      </c>
      <c r="K3" s="2" t="n">
        <v>45554</v>
      </c>
      <c r="L3" s="3" t="n">
        <v>12</v>
      </c>
      <c r="M3" s="2">
        <f>IF(Contratti[[#This Row],[Data di attivazione]]=0,"n/a",EDATE(Contratti[[#This Row],[Data di attivazione]],Contratti[[#This Row],[Mesi contratto]])-1)</f>
        <v/>
      </c>
      <c r="N3" s="4">
        <f>IF(Contratti[[#This Row],[Data di scadenza]]="n/a","n/a",EDATE(Contratti[[#This Row],[Data di scadenza]],-6))</f>
        <v/>
      </c>
      <c r="O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" t="inlineStr">
        <is>
          <t>Non rinnovare</t>
        </is>
      </c>
    </row>
    <row r="4">
      <c r="A4" t="inlineStr">
        <is>
          <t>OA1 499/24</t>
        </is>
      </c>
      <c r="B4" t="inlineStr">
        <is>
          <t>BNV8HET0F6</t>
        </is>
      </c>
      <c r="D4" s="1" t="n">
        <v>634935</v>
      </c>
      <c r="E4" t="inlineStr">
        <is>
          <t>Servizio di assistenza 01</t>
        </is>
      </c>
      <c r="F4" t="inlineStr">
        <is>
          <t>Fornitore 03 S.r.l.</t>
        </is>
      </c>
      <c r="G4">
        <f>IF(VLOOKUP(Contratti[[#This Row],[Fornitore]],Tabella2[],2,FALSE)=0,"n/d",VLOOKUP(Contratti[[#This Row],[Fornitore]],Tabella2[],2,FALSE))</f>
        <v/>
      </c>
      <c r="H4" s="5" t="n">
        <v>697.38</v>
      </c>
      <c r="I4" s="5" t="n"/>
      <c r="J4" s="5">
        <f>Contratti[[#This Row],[Corrispettivo Minimo]]+Contratti[[#This Row],[Corrispettivo Extra]]</f>
        <v/>
      </c>
      <c r="K4" s="2" t="n">
        <v>45566</v>
      </c>
      <c r="L4" s="3" t="n">
        <v>12</v>
      </c>
      <c r="M4" s="2">
        <f>IF(Contratti[[#This Row],[Data di attivazione]]=0,"n/a",EDATE(Contratti[[#This Row],[Data di attivazione]],Contratti[[#This Row],[Mesi contratto]])-1)</f>
        <v/>
      </c>
      <c r="N4" s="4">
        <f>IF(Contratti[[#This Row],[Data di scadenza]]="n/a","n/a",EDATE(Contratti[[#This Row],[Data di scadenza]],-6))</f>
        <v/>
      </c>
      <c r="O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" t="inlineStr">
        <is>
          <t>Non rinnovare</t>
        </is>
      </c>
    </row>
    <row r="5">
      <c r="A5" t="inlineStr">
        <is>
          <t>OA1 252/24</t>
        </is>
      </c>
      <c r="B5" t="inlineStr">
        <is>
          <t>BJ06VB1XDW</t>
        </is>
      </c>
      <c r="D5" s="1" t="n">
        <v>634935</v>
      </c>
      <c r="E5" t="inlineStr">
        <is>
          <t>Licenza software 03</t>
        </is>
      </c>
      <c r="F5" t="inlineStr">
        <is>
          <t>Fornitore 04 S.r.l.</t>
        </is>
      </c>
      <c r="G5">
        <f>IF(VLOOKUP(Contratti[[#This Row],[Fornitore]],Tabella2[],2,FALSE)=0,"n/d",VLOOKUP(Contratti[[#This Row],[Fornitore]],Tabella2[],2,FALSE))</f>
        <v/>
      </c>
      <c r="H5" s="5" t="n">
        <v>9312.610000000001</v>
      </c>
      <c r="I5" s="5" t="n">
        <v>0</v>
      </c>
      <c r="J5" s="5">
        <f>Contratti[[#This Row],[Corrispettivo Minimo]]+Contratti[[#This Row],[Corrispettivo Extra]]</f>
        <v/>
      </c>
      <c r="K5" s="2" t="n">
        <v>45566</v>
      </c>
      <c r="L5" s="3" t="n">
        <v>12</v>
      </c>
      <c r="M5" s="2">
        <f>IF(Contratti[[#This Row],[Data di attivazione]]=0,"n/a",EDATE(Contratti[[#This Row],[Data di attivazione]],Contratti[[#This Row],[Mesi contratto]])-1)</f>
        <v/>
      </c>
      <c r="N5" s="4">
        <f>IF(Contratti[[#This Row],[Data di scadenza]]="n/a","n/a",EDATE(Contratti[[#This Row],[Data di scadenza]],-6))</f>
        <v/>
      </c>
      <c r="O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" t="inlineStr">
        <is>
          <t>Rinnovato</t>
        </is>
      </c>
    </row>
    <row r="6">
      <c r="A6" t="inlineStr">
        <is>
          <t>OA1 254/24</t>
        </is>
      </c>
      <c r="B6" t="inlineStr">
        <is>
          <t>BXAZPH9NP7</t>
        </is>
      </c>
      <c r="D6" s="1" t="n">
        <v>634935</v>
      </c>
      <c r="E6" t="inlineStr">
        <is>
          <t>Licenza software 04</t>
        </is>
      </c>
      <c r="F6" t="inlineStr">
        <is>
          <t>Fornitore 02 S.r.l.</t>
        </is>
      </c>
      <c r="G6">
        <f>IF(VLOOKUP(Contratti[[#This Row],[Fornitore]],Tabella2[],2,FALSE)=0,"n/d",VLOOKUP(Contratti[[#This Row],[Fornitore]],Tabella2[],2,FALSE))</f>
        <v/>
      </c>
      <c r="H6" s="5" t="n">
        <v>49.49</v>
      </c>
      <c r="I6" s="5" t="n">
        <v>0</v>
      </c>
      <c r="J6" s="5">
        <f>Contratti[[#This Row],[Corrispettivo Minimo]]+Contratti[[#This Row],[Corrispettivo Extra]]</f>
        <v/>
      </c>
      <c r="K6" s="2" t="n">
        <v>45576</v>
      </c>
      <c r="L6" s="3" t="n">
        <v>12</v>
      </c>
      <c r="M6" s="2">
        <f>IF(Contratti[[#This Row],[Data di attivazione]]=0,"n/a",EDATE(Contratti[[#This Row],[Data di attivazione]],Contratti[[#This Row],[Mesi contratto]])-1)</f>
        <v/>
      </c>
      <c r="N6" s="4">
        <f>IF(Contratti[[#This Row],[Data di scadenza]]="n/a","n/a",EDATE(Contratti[[#This Row],[Data di scadenza]],-6))</f>
        <v/>
      </c>
      <c r="O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" t="inlineStr">
        <is>
          <t>Non rinnovare</t>
        </is>
      </c>
    </row>
    <row r="7">
      <c r="A7" t="inlineStr">
        <is>
          <t>OA1 39/24</t>
        </is>
      </c>
      <c r="B7" t="inlineStr">
        <is>
          <t>BRERM989IQ</t>
        </is>
      </c>
      <c r="C7" t="n">
        <v>634935</v>
      </c>
      <c r="D7" s="1" t="n">
        <v>634935</v>
      </c>
      <c r="E7" t="inlineStr">
        <is>
          <t>Licenza software 05</t>
        </is>
      </c>
      <c r="F7" t="inlineStr">
        <is>
          <t>Fornitore 02 S.r.l.</t>
        </is>
      </c>
      <c r="G7">
        <f>IF(VLOOKUP(Contratti[[#This Row],[Fornitore]],Tabella2[],2,FALSE)=0,"n/d",VLOOKUP(Contratti[[#This Row],[Fornitore]],Tabella2[],2,FALSE))</f>
        <v/>
      </c>
      <c r="H7" s="5" t="n">
        <v>3638.74</v>
      </c>
      <c r="I7" s="5" t="n">
        <v>0</v>
      </c>
      <c r="J7" s="5">
        <f>Contratti[[#This Row],[Corrispettivo Minimo]]+Contratti[[#This Row],[Corrispettivo Extra]]</f>
        <v/>
      </c>
      <c r="K7" s="2" t="n">
        <v>45576</v>
      </c>
      <c r="L7" s="3" t="n">
        <v>12</v>
      </c>
      <c r="M7" s="2">
        <f>IF(Contratti[[#This Row],[Data di attivazione]]=0,"n/a",EDATE(Contratti[[#This Row],[Data di attivazione]],Contratti[[#This Row],[Mesi contratto]])-1)</f>
        <v/>
      </c>
      <c r="N7" s="4">
        <f>IF(Contratti[[#This Row],[Data di scadenza]]="n/a","n/a",EDATE(Contratti[[#This Row],[Data di scadenza]],-6))</f>
        <v/>
      </c>
      <c r="O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7" t="inlineStr">
        <is>
          <t>Rinnovato</t>
        </is>
      </c>
    </row>
    <row r="8">
      <c r="A8" t="inlineStr">
        <is>
          <t>OA1 479/24</t>
        </is>
      </c>
      <c r="B8" t="inlineStr">
        <is>
          <t>BWUKVGRVAD</t>
        </is>
      </c>
      <c r="D8" s="1" t="n">
        <v>634935</v>
      </c>
      <c r="E8" t="inlineStr">
        <is>
          <t>Licenza software 06</t>
        </is>
      </c>
      <c r="F8" t="inlineStr">
        <is>
          <t>Fornitore 05 S.r.l.</t>
        </is>
      </c>
      <c r="G8">
        <f>IF(VLOOKUP(Contratti[[#This Row],[Fornitore]],Tabella2[],2,FALSE)=0,"n/d",VLOOKUP(Contratti[[#This Row],[Fornitore]],Tabella2[],2,FALSE))</f>
        <v/>
      </c>
      <c r="H8" s="5" t="n">
        <v>810.3200000000001</v>
      </c>
      <c r="I8" s="5" t="n">
        <v>0</v>
      </c>
      <c r="J8" s="5">
        <f>Contratti[[#This Row],[Corrispettivo Minimo]]+Contratti[[#This Row],[Corrispettivo Extra]]</f>
        <v/>
      </c>
      <c r="K8" s="2" t="n">
        <v>45581</v>
      </c>
      <c r="L8" s="3" t="n">
        <v>12</v>
      </c>
      <c r="M8" s="2">
        <f>IF(Contratti[[#This Row],[Data di attivazione]]=0,"n/a",EDATE(Contratti[[#This Row],[Data di attivazione]],Contratti[[#This Row],[Mesi contratto]])-1)</f>
        <v/>
      </c>
      <c r="N8" s="4">
        <f>IF(Contratti[[#This Row],[Data di scadenza]]="n/a","n/a",EDATE(Contratti[[#This Row],[Data di scadenza]],-6))</f>
        <v/>
      </c>
      <c r="O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8" t="inlineStr">
        <is>
          <t>Non rinnovare</t>
        </is>
      </c>
    </row>
    <row r="9">
      <c r="A9" t="inlineStr">
        <is>
          <t>SI00OA5074</t>
        </is>
      </c>
      <c r="B9" t="inlineStr">
        <is>
          <t>B4DMTQE5B7</t>
        </is>
      </c>
      <c r="D9" s="1" t="n">
        <v>634935</v>
      </c>
      <c r="E9" t="inlineStr">
        <is>
          <t>Servizio di assistenza 02</t>
        </is>
      </c>
      <c r="F9" t="inlineStr">
        <is>
          <t>Fornitore 06 S.r.l.</t>
        </is>
      </c>
      <c r="G9">
        <f>IF(VLOOKUP(Contratti[[#This Row],[Fornitore]],Tabella2[],2,FALSE)=0,"n/d",VLOOKUP(Contratti[[#This Row],[Fornitore]],Tabella2[],2,FALSE))</f>
        <v/>
      </c>
      <c r="H9" s="5" t="n">
        <v>8418.309999999999</v>
      </c>
      <c r="I9" s="5" t="n">
        <v>0</v>
      </c>
      <c r="J9" s="5">
        <f>Contratti[[#This Row],[Corrispettivo Minimo]]+Contratti[[#This Row],[Corrispettivo Extra]]</f>
        <v/>
      </c>
      <c r="K9" s="2" t="n">
        <v>45644</v>
      </c>
      <c r="L9" s="3" t="n">
        <v>12</v>
      </c>
      <c r="M9" s="2">
        <f>IF(Contratti[[#This Row],[Data di attivazione]]=0,"n/a",EDATE(Contratti[[#This Row],[Data di attivazione]],Contratti[[#This Row],[Mesi contratto]])-1)</f>
        <v/>
      </c>
      <c r="N9" s="4">
        <f>IF(Contratti[[#This Row],[Data di scadenza]]="n/a","n/a",EDATE(Contratti[[#This Row],[Data di scadenza]],-6))</f>
        <v/>
      </c>
      <c r="O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9" t="inlineStr">
        <is>
          <t>Rinnovato</t>
        </is>
      </c>
    </row>
    <row r="10">
      <c r="A10" t="inlineStr">
        <is>
          <t>OA1 216/24</t>
        </is>
      </c>
      <c r="B10" t="inlineStr">
        <is>
          <t>B5ZLMQJHND</t>
        </is>
      </c>
      <c r="D10" s="1" t="n">
        <v>634935</v>
      </c>
      <c r="E10" t="inlineStr">
        <is>
          <t>Licenza software 07</t>
        </is>
      </c>
      <c r="F10" t="inlineStr">
        <is>
          <t>Fornitore 02 S.r.l.</t>
        </is>
      </c>
      <c r="G10">
        <f>IF(VLOOKUP(Contratti[[#This Row],[Fornitore]],Tabella2[],2,FALSE)=0,"n/d",VLOOKUP(Contratti[[#This Row],[Fornitore]],Tabella2[],2,FALSE))</f>
        <v/>
      </c>
      <c r="H10" s="5" t="n">
        <v>3622.85</v>
      </c>
      <c r="I10" s="5" t="n">
        <v>0</v>
      </c>
      <c r="J10" s="5">
        <f>Contratti[[#This Row],[Corrispettivo Minimo]]+Contratti[[#This Row],[Corrispettivo Extra]]</f>
        <v/>
      </c>
      <c r="K10" s="2" t="n">
        <v>45646</v>
      </c>
      <c r="L10" s="3" t="n">
        <v>12</v>
      </c>
      <c r="M10" s="2">
        <f>IF(Contratti[[#This Row],[Data di attivazione]]=0,"n/a",EDATE(Contratti[[#This Row],[Data di attivazione]],Contratti[[#This Row],[Mesi contratto]])-1)</f>
        <v/>
      </c>
      <c r="N10" s="4">
        <f>IF(Contratti[[#This Row],[Data di scadenza]]="n/a","n/a",EDATE(Contratti[[#This Row],[Data di scadenza]],-6))</f>
        <v/>
      </c>
      <c r="O1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0" t="inlineStr">
        <is>
          <t>Rinnovato</t>
        </is>
      </c>
    </row>
    <row r="11">
      <c r="A11" t="n">
        <v>5800845502</v>
      </c>
      <c r="B11" t="inlineStr">
        <is>
          <t>B0FTQZ4E8F</t>
        </is>
      </c>
      <c r="C11" t="n">
        <v>627020</v>
      </c>
      <c r="D11" s="1" t="inlineStr">
        <is>
          <t>634935</t>
        </is>
      </c>
      <c r="E11" t="inlineStr">
        <is>
          <t>Servizio di assistenza 03</t>
        </is>
      </c>
      <c r="F11" t="inlineStr">
        <is>
          <t>Fornitore 04 S.r.l.</t>
        </is>
      </c>
      <c r="G11">
        <f>IF(VLOOKUP(Contratti[[#This Row],[Fornitore]],Tabella2[],2,FALSE)=0,"n/d",VLOOKUP(Contratti[[#This Row],[Fornitore]],Tabella2[],2,FALSE))</f>
        <v/>
      </c>
      <c r="H11" s="5" t="n">
        <v>6368.1</v>
      </c>
      <c r="I11" s="5" t="n">
        <v>6368.1</v>
      </c>
      <c r="J11" s="5">
        <f>Contratti[[#This Row],[Corrispettivo Minimo]]+Contratti[[#This Row],[Corrispettivo Extra]]</f>
        <v/>
      </c>
      <c r="K11" s="2" t="n">
        <v>45658</v>
      </c>
      <c r="L11" s="3" t="n">
        <v>12</v>
      </c>
      <c r="M11" s="2">
        <f>IF(Contratti[[#This Row],[Data di attivazione]]=0,"n/a",EDATE(Contratti[[#This Row],[Data di attivazione]],Contratti[[#This Row],[Mesi contratto]])-1)</f>
        <v/>
      </c>
      <c r="N11" s="4">
        <f>IF(Contratti[[#This Row],[Data di scadenza]]="n/a","n/a",EDATE(Contratti[[#This Row],[Data di scadenza]],-6))</f>
        <v/>
      </c>
      <c r="O1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1" t="inlineStr">
        <is>
          <t>Rinnovato</t>
        </is>
      </c>
    </row>
    <row r="12">
      <c r="A12" t="inlineStr">
        <is>
          <t>SI00OA3384</t>
        </is>
      </c>
      <c r="B12" t="inlineStr">
        <is>
          <t>BKSD5Z5O90</t>
        </is>
      </c>
      <c r="C12" t="n">
        <v>627020</v>
      </c>
      <c r="D12" s="1" t="n">
        <v>634935</v>
      </c>
      <c r="E12" t="inlineStr">
        <is>
          <t>Servizio di assistenza 04</t>
        </is>
      </c>
      <c r="F12" t="inlineStr">
        <is>
          <t>Fornitore 02 S.r.l.</t>
        </is>
      </c>
      <c r="G12">
        <f>IF(VLOOKUP(Contratti[[#This Row],[Fornitore]],Tabella2[],2,FALSE)=0,"n/d",VLOOKUP(Contratti[[#This Row],[Fornitore]],Tabella2[],2,FALSE))</f>
        <v/>
      </c>
      <c r="H12" s="5" t="n">
        <v>25602.07</v>
      </c>
      <c r="I12" s="5" t="n">
        <v>0</v>
      </c>
      <c r="J12" s="5">
        <f>Contratti[[#This Row],[Corrispettivo Minimo]]+Contratti[[#This Row],[Corrispettivo Extra]]</f>
        <v/>
      </c>
      <c r="K12" s="2" t="n">
        <v>45658</v>
      </c>
      <c r="L12" s="3" t="n">
        <v>12</v>
      </c>
      <c r="M12" s="2">
        <f>IF(Contratti[[#This Row],[Data di attivazione]]=0,"n/a",EDATE(Contratti[[#This Row],[Data di attivazione]],Contratti[[#This Row],[Mesi contratto]])-1)</f>
        <v/>
      </c>
      <c r="N12" s="4">
        <f>IF(Contratti[[#This Row],[Data di scadenza]]="n/a","n/a",EDATE(Contratti[[#This Row],[Data di scadenza]],-6))</f>
        <v/>
      </c>
      <c r="O1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2" t="inlineStr">
        <is>
          <t>Rinnovato</t>
        </is>
      </c>
    </row>
    <row r="13">
      <c r="A13" t="inlineStr">
        <is>
          <t>OA1 237/24</t>
        </is>
      </c>
      <c r="B13" t="inlineStr">
        <is>
          <t>BE3NO4UMXB</t>
        </is>
      </c>
      <c r="C13" t="n">
        <v>627020</v>
      </c>
      <c r="D13" s="1" t="n">
        <v>634935</v>
      </c>
      <c r="E13" t="inlineStr">
        <is>
          <t>Licenza software 08</t>
        </is>
      </c>
      <c r="F13" t="inlineStr">
        <is>
          <t>Fornitore 02 S.r.l.</t>
        </is>
      </c>
      <c r="G13">
        <f>IF(VLOOKUP(Contratti[[#This Row],[Fornitore]],Tabella2[],2,FALSE)=0,"n/d",VLOOKUP(Contratti[[#This Row],[Fornitore]],Tabella2[],2,FALSE))</f>
        <v/>
      </c>
      <c r="H13" s="5" t="n">
        <v>6230.12</v>
      </c>
      <c r="I13" s="5" t="n">
        <v>0</v>
      </c>
      <c r="J13" s="5">
        <f>Contratti[[#This Row],[Corrispettivo Minimo]]+Contratti[[#This Row],[Corrispettivo Extra]]</f>
        <v/>
      </c>
      <c r="K13" s="2" t="n">
        <v>45658</v>
      </c>
      <c r="L13" s="3" t="n">
        <v>12</v>
      </c>
      <c r="M13" s="2">
        <f>IF(Contratti[[#This Row],[Data di attivazione]]=0,"n/a",EDATE(Contratti[[#This Row],[Data di attivazione]],Contratti[[#This Row],[Mesi contratto]])-1)</f>
        <v/>
      </c>
      <c r="N13" s="4">
        <f>IF(Contratti[[#This Row],[Data di scadenza]]="n/a","n/a",EDATE(Contratti[[#This Row],[Data di scadenza]],-6))</f>
        <v/>
      </c>
      <c r="O1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3" t="inlineStr">
        <is>
          <t>Rinnovato</t>
        </is>
      </c>
    </row>
    <row r="14">
      <c r="A14" t="inlineStr">
        <is>
          <t>OA1 305/24</t>
        </is>
      </c>
      <c r="B14" t="inlineStr">
        <is>
          <t>B71DVK9OUX</t>
        </is>
      </c>
      <c r="D14" s="1" t="n">
        <v>634935</v>
      </c>
      <c r="E14" t="inlineStr">
        <is>
          <t>Servizio di assistenza 04</t>
        </is>
      </c>
      <c r="F14" t="inlineStr">
        <is>
          <t>Fornitore 07 S.r.l.</t>
        </is>
      </c>
      <c r="G14">
        <f>IF(VLOOKUP(Contratti[[#This Row],[Fornitore]],Tabella2[],2,FALSE)=0,"n/d",VLOOKUP(Contratti[[#This Row],[Fornitore]],Tabella2[],2,FALSE))</f>
        <v/>
      </c>
      <c r="H14" s="5" t="n">
        <v>33190.26</v>
      </c>
      <c r="I14" s="5" t="n">
        <v>0</v>
      </c>
      <c r="J14" s="5">
        <f>Contratti[[#This Row],[Corrispettivo Minimo]]+Contratti[[#This Row],[Corrispettivo Extra]]</f>
        <v/>
      </c>
      <c r="K14" s="2" t="n">
        <v>45658</v>
      </c>
      <c r="L14" s="3" t="n">
        <v>12</v>
      </c>
      <c r="M14" s="2">
        <f>IF(Contratti[[#This Row],[Data di attivazione]]=0,"n/a",EDATE(Contratti[[#This Row],[Data di attivazione]],Contratti[[#This Row],[Mesi contratto]])-1)</f>
        <v/>
      </c>
      <c r="N14" s="4">
        <f>IF(Contratti[[#This Row],[Data di scadenza]]="n/a","n/a",EDATE(Contratti[[#This Row],[Data di scadenza]],-6))</f>
        <v/>
      </c>
      <c r="O1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4" t="inlineStr">
        <is>
          <t>Non rinnovare</t>
        </is>
      </c>
    </row>
    <row r="15">
      <c r="A15" t="inlineStr">
        <is>
          <t>OA1 396/24</t>
        </is>
      </c>
      <c r="B15" t="inlineStr">
        <is>
          <t>BNT1W2F7G7</t>
        </is>
      </c>
      <c r="D15" s="1" t="n">
        <v>634935</v>
      </c>
      <c r="E15" t="inlineStr">
        <is>
          <t>Servizio di assistenza 05</t>
        </is>
      </c>
      <c r="F15" t="inlineStr">
        <is>
          <t>Fornitore 08 S.r.l.</t>
        </is>
      </c>
      <c r="G15">
        <f>IF(VLOOKUP(Contratti[[#This Row],[Fornitore]],Tabella2[],2,FALSE)=0,"n/d",VLOOKUP(Contratti[[#This Row],[Fornitore]],Tabella2[],2,FALSE))</f>
        <v/>
      </c>
      <c r="H15" s="5" t="n">
        <v>1785.31</v>
      </c>
      <c r="I15" s="5" t="n">
        <v>0</v>
      </c>
      <c r="J15" s="5">
        <f>Contratti[[#This Row],[Corrispettivo Minimo]]+Contratti[[#This Row],[Corrispettivo Extra]]</f>
        <v/>
      </c>
      <c r="K15" s="2" t="n">
        <v>45658</v>
      </c>
      <c r="L15" s="3" t="n">
        <v>12</v>
      </c>
      <c r="M15" s="2">
        <f>IF(Contratti[[#This Row],[Data di attivazione]]=0,"n/a",EDATE(Contratti[[#This Row],[Data di attivazione]],Contratti[[#This Row],[Mesi contratto]])-1)</f>
        <v/>
      </c>
      <c r="N15" s="4">
        <f>IF(Contratti[[#This Row],[Data di scadenza]]="n/a","n/a",EDATE(Contratti[[#This Row],[Data di scadenza]],-6))</f>
        <v/>
      </c>
      <c r="O1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5" t="inlineStr">
        <is>
          <t>Non rinnovare</t>
        </is>
      </c>
    </row>
    <row r="16">
      <c r="A16" t="inlineStr">
        <is>
          <t>OA1 492/24</t>
        </is>
      </c>
      <c r="B16" t="inlineStr">
        <is>
          <t>B9L2326I89</t>
        </is>
      </c>
      <c r="D16" s="1" t="n">
        <v>634935</v>
      </c>
      <c r="E16" t="inlineStr">
        <is>
          <t>Licenza software 09</t>
        </is>
      </c>
      <c r="F16" t="inlineStr">
        <is>
          <t>Fornitore 09 S.r.l.</t>
        </is>
      </c>
      <c r="G16">
        <f>IF(VLOOKUP(Contratti[[#This Row],[Fornitore]],Tabella2[],2,FALSE)=0,"n/d",VLOOKUP(Contratti[[#This Row],[Fornitore]],Tabella2[],2,FALSE))</f>
        <v/>
      </c>
      <c r="H16" s="5" t="n">
        <v>327.32</v>
      </c>
      <c r="I16" s="5" t="n">
        <v>0</v>
      </c>
      <c r="J16" s="5">
        <f>Contratti[[#This Row],[Corrispettivo Minimo]]+Contratti[[#This Row],[Corrispettivo Extra]]</f>
        <v/>
      </c>
      <c r="K16" s="2" t="n">
        <v>45658</v>
      </c>
      <c r="L16" s="3" t="n">
        <v>12</v>
      </c>
      <c r="M16" s="2">
        <f>IF(Contratti[[#This Row],[Data di attivazione]]=0,"n/a",EDATE(Contratti[[#This Row],[Data di attivazione]],Contratti[[#This Row],[Mesi contratto]])-1)</f>
        <v/>
      </c>
      <c r="N16" s="4">
        <f>IF(Contratti[[#This Row],[Data di scadenza]]="n/a","n/a",EDATE(Contratti[[#This Row],[Data di scadenza]],-6))</f>
        <v/>
      </c>
      <c r="O1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6" t="inlineStr">
        <is>
          <t>Non rinnovare</t>
        </is>
      </c>
    </row>
    <row r="17">
      <c r="A17" t="inlineStr">
        <is>
          <t>SI000C4420</t>
        </is>
      </c>
      <c r="B17" t="inlineStr">
        <is>
          <t>A3VVNDRG7A</t>
        </is>
      </c>
      <c r="D17" s="1" t="n">
        <v>634935</v>
      </c>
      <c r="E17" t="inlineStr">
        <is>
          <t>Servizio di assistenza 06</t>
        </is>
      </c>
      <c r="F17" t="inlineStr">
        <is>
          <t>Fornitore 10 S.r.l.</t>
        </is>
      </c>
      <c r="G17">
        <f>IF(VLOOKUP(Contratti[[#This Row],[Fornitore]],Tabella2[],2,FALSE)=0,"n/d",VLOOKUP(Contratti[[#This Row],[Fornitore]],Tabella2[],2,FALSE))</f>
        <v/>
      </c>
      <c r="H17" s="5" t="n">
        <v>54876.7</v>
      </c>
      <c r="I17" s="5" t="n">
        <v>0</v>
      </c>
      <c r="J17" s="5">
        <f>Contratti[[#This Row],[Corrispettivo Minimo]]+Contratti[[#This Row],[Corrispettivo Extra]]</f>
        <v/>
      </c>
      <c r="K17" s="2" t="n">
        <v>45301</v>
      </c>
      <c r="L17" s="3" t="n">
        <v>24</v>
      </c>
      <c r="M17" s="2">
        <f>IF(Contratti[[#This Row],[Data di attivazione]]=0,"n/a",EDATE(Contratti[[#This Row],[Data di attivazione]],Contratti[[#This Row],[Mesi contratto]])-1)</f>
        <v/>
      </c>
      <c r="N17" s="4">
        <f>IF(Contratti[[#This Row],[Data di scadenza]]="n/a","n/a",EDATE(Contratti[[#This Row],[Data di scadenza]],-6))</f>
        <v/>
      </c>
      <c r="O1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7" t="inlineStr">
        <is>
          <t>Non rinnovare</t>
        </is>
      </c>
    </row>
    <row r="18">
      <c r="A18" t="inlineStr">
        <is>
          <t>OA1 251/25</t>
        </is>
      </c>
      <c r="B18" t="inlineStr">
        <is>
          <t>BTNGB38OBZ</t>
        </is>
      </c>
      <c r="D18" s="1" t="n">
        <v>634935</v>
      </c>
      <c r="E18" t="inlineStr">
        <is>
          <t>Servizio di assistenza 07</t>
        </is>
      </c>
      <c r="F18" t="inlineStr">
        <is>
          <t>Fornitore 11 S.r.l.</t>
        </is>
      </c>
      <c r="G18">
        <f>IF(VLOOKUP(Contratti[[#This Row],[Fornitore]],Tabella2[],2,FALSE)=0,"n/d",VLOOKUP(Contratti[[#This Row],[Fornitore]],Tabella2[],2,FALSE))</f>
        <v/>
      </c>
      <c r="H18" s="5" t="n">
        <v>4006.01</v>
      </c>
      <c r="I18" s="5" t="n">
        <v>0</v>
      </c>
      <c r="J18" s="5">
        <f>Contratti[[#This Row],[Corrispettivo Minimo]]+Contratti[[#This Row],[Corrispettivo Extra]]</f>
        <v/>
      </c>
      <c r="K18" s="2" t="n">
        <v>45696</v>
      </c>
      <c r="L18" s="3" t="n">
        <v>12</v>
      </c>
      <c r="M18" s="2">
        <f>IF(Contratti[[#This Row],[Data di attivazione]]=0,"n/a",EDATE(Contratti[[#This Row],[Data di attivazione]],Contratti[[#This Row],[Mesi contratto]])-1)</f>
        <v/>
      </c>
      <c r="N18" s="4">
        <f>IF(Contratti[[#This Row],[Data di scadenza]]="n/a","n/a",EDATE(Contratti[[#This Row],[Data di scadenza]],-6))</f>
        <v/>
      </c>
      <c r="O1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8" t="inlineStr">
        <is>
          <t>Non rinnovare</t>
        </is>
      </c>
    </row>
    <row r="19">
      <c r="A19" t="inlineStr">
        <is>
          <t>OA1 229/25</t>
        </is>
      </c>
      <c r="B19" t="inlineStr">
        <is>
          <t>BD8DM8QRWW</t>
        </is>
      </c>
      <c r="C19" t="n">
        <v>634935</v>
      </c>
      <c r="D19" s="1" t="n">
        <v>634935</v>
      </c>
      <c r="E19" t="inlineStr">
        <is>
          <t>Licenza software 10</t>
        </is>
      </c>
      <c r="F19" t="inlineStr">
        <is>
          <t>Fornitore 12 S.r.l.</t>
        </is>
      </c>
      <c r="G19">
        <f>IF(VLOOKUP(Contratti[[#This Row],[Fornitore]],Tabella2[],2,FALSE)=0,"n/d",VLOOKUP(Contratti[[#This Row],[Fornitore]],Tabella2[],2,FALSE))</f>
        <v/>
      </c>
      <c r="H19" s="5" t="n">
        <v>1778.19</v>
      </c>
      <c r="I19" s="5" t="n">
        <v>0</v>
      </c>
      <c r="J19" s="5">
        <f>Contratti[[#This Row],[Corrispettivo Minimo]]+Contratti[[#This Row],[Corrispettivo Extra]]</f>
        <v/>
      </c>
      <c r="K19" s="2" t="n">
        <v>45717</v>
      </c>
      <c r="L19" s="3" t="n">
        <v>12</v>
      </c>
      <c r="M19" s="2">
        <f>IF(Contratti[[#This Row],[Data di attivazione]]=0,"n/a",EDATE(Contratti[[#This Row],[Data di attivazione]],Contratti[[#This Row],[Mesi contratto]])-1)</f>
        <v/>
      </c>
      <c r="N19" s="4">
        <f>IF(Contratti[[#This Row],[Data di scadenza]]="n/a","n/a",EDATE(Contratti[[#This Row],[Data di scadenza]],-6))</f>
        <v/>
      </c>
      <c r="O1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9" t="inlineStr">
        <is>
          <t>Rinnovato</t>
        </is>
      </c>
    </row>
    <row r="20">
      <c r="A20" t="inlineStr">
        <is>
          <t>OA1 307/25</t>
        </is>
      </c>
      <c r="B20" t="inlineStr">
        <is>
          <t>B0ZA7VFCSU</t>
        </is>
      </c>
      <c r="D20" s="1" t="n">
        <v>634935</v>
      </c>
      <c r="E20" t="inlineStr">
        <is>
          <t>Servizio di assistenza 08</t>
        </is>
      </c>
      <c r="F20" t="inlineStr">
        <is>
          <t>Fornitore 02 S.r.l.</t>
        </is>
      </c>
      <c r="G20">
        <f>IF(VLOOKUP(Contratti[[#This Row],[Fornitore]],Tabella2[],2,FALSE)=0,"n/d",VLOOKUP(Contratti[[#This Row],[Fornitore]],Tabella2[],2,FALSE))</f>
        <v/>
      </c>
      <c r="H20" s="5" t="n">
        <v>3055.7</v>
      </c>
      <c r="I20" s="5" t="n">
        <v>0</v>
      </c>
      <c r="J20" s="5">
        <f>Contratti[[#This Row],[Corrispettivo Minimo]]+Contratti[[#This Row],[Corrispettivo Extra]]</f>
        <v/>
      </c>
      <c r="K20" s="2" t="n">
        <v>45718</v>
      </c>
      <c r="L20" s="3" t="n">
        <v>12</v>
      </c>
      <c r="M20" s="2">
        <f>IF(Contratti[[#This Row],[Data di attivazione]]=0,"n/a",EDATE(Contratti[[#This Row],[Data di attivazione]],Contratti[[#This Row],[Mesi contratto]])-1)</f>
        <v/>
      </c>
      <c r="N20" s="4">
        <f>IF(Contratti[[#This Row],[Data di scadenza]]="n/a","n/a",EDATE(Contratti[[#This Row],[Data di scadenza]],-6))</f>
        <v/>
      </c>
      <c r="O2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0" t="inlineStr">
        <is>
          <t>Rinnovato</t>
        </is>
      </c>
    </row>
    <row r="21">
      <c r="A21" t="inlineStr">
        <is>
          <t>OA1 181/23</t>
        </is>
      </c>
      <c r="B21" t="inlineStr">
        <is>
          <t>ZI8P5S2HQP</t>
        </is>
      </c>
      <c r="C21" t="n">
        <v>634935</v>
      </c>
      <c r="D21" s="1" t="n">
        <v>634935</v>
      </c>
      <c r="E21" t="inlineStr">
        <is>
          <t>Licenza software 11</t>
        </is>
      </c>
      <c r="F21" t="inlineStr">
        <is>
          <t>Fornitore 13 S.r.l.</t>
        </is>
      </c>
      <c r="G21">
        <f>IF(VLOOKUP(Contratti[[#This Row],[Fornitore]],Tabella2[],2,FALSE)=0,"n/d",VLOOKUP(Contratti[[#This Row],[Fornitore]],Tabella2[],2,FALSE))</f>
        <v/>
      </c>
      <c r="H21" s="5" t="n">
        <v>18852.42</v>
      </c>
      <c r="I21" s="5" t="n">
        <v>0</v>
      </c>
      <c r="J21" s="5">
        <f>Contratti[[#This Row],[Corrispettivo Minimo]]+Contratti[[#This Row],[Corrispettivo Extra]]</f>
        <v/>
      </c>
      <c r="K21" s="2" t="n">
        <v>45009</v>
      </c>
      <c r="L21" s="3" t="n">
        <v>36</v>
      </c>
      <c r="M21" s="2">
        <f>IF(Contratti[[#This Row],[Data di attivazione]]=0,"n/a",EDATE(Contratti[[#This Row],[Data di attivazione]],Contratti[[#This Row],[Mesi contratto]])-1)</f>
        <v/>
      </c>
      <c r="N21" s="4">
        <f>IF(Contratti[[#This Row],[Data di scadenza]]="n/a","n/a",EDATE(Contratti[[#This Row],[Data di scadenza]],-6))</f>
        <v/>
      </c>
      <c r="O2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1" t="inlineStr">
        <is>
          <t>Rinnovato</t>
        </is>
      </c>
      <c r="Q21" t="inlineStr">
        <is>
          <t>Spesa completamente liquidata nel 2023</t>
        </is>
      </c>
    </row>
    <row r="22">
      <c r="A22" t="inlineStr">
        <is>
          <t>OA1 225/25</t>
        </is>
      </c>
      <c r="B22" t="inlineStr">
        <is>
          <t>BTM4XIN6JS</t>
        </is>
      </c>
      <c r="D22" s="1" t="n">
        <v>634935</v>
      </c>
      <c r="E22" t="inlineStr">
        <is>
          <t>Servizio di assistenza 09</t>
        </is>
      </c>
      <c r="F22" t="inlineStr">
        <is>
          <t>Fornitore 02 S.r.l.</t>
        </is>
      </c>
      <c r="G22">
        <f>IF(VLOOKUP(Contratti[[#This Row],[Fornitore]],Tabella2[],2,FALSE)=0,"n/d",VLOOKUP(Contratti[[#This Row],[Fornitore]],Tabella2[],2,FALSE))</f>
        <v/>
      </c>
      <c r="H22" s="5" t="n">
        <v>1368.79</v>
      </c>
      <c r="I22" s="5" t="n">
        <v>0</v>
      </c>
      <c r="J22" s="5">
        <f>Contratti[[#This Row],[Corrispettivo Minimo]]+Contratti[[#This Row],[Corrispettivo Extra]]</f>
        <v/>
      </c>
      <c r="K22" s="2" t="n">
        <v>45741</v>
      </c>
      <c r="L22" s="3" t="n">
        <v>12</v>
      </c>
      <c r="M22" s="2">
        <f>IF(Contratti[[#This Row],[Data di attivazione]]=0,"n/a",EDATE(Contratti[[#This Row],[Data di attivazione]],Contratti[[#This Row],[Mesi contratto]])-1)</f>
        <v/>
      </c>
      <c r="N22" s="4">
        <f>IF(Contratti[[#This Row],[Data di scadenza]]="n/a","n/a",EDATE(Contratti[[#This Row],[Data di scadenza]],-6))</f>
        <v/>
      </c>
      <c r="O2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2" t="inlineStr">
        <is>
          <t>Rinnovato</t>
        </is>
      </c>
    </row>
    <row r="23">
      <c r="A23" t="inlineStr">
        <is>
          <t>OA1 234/25</t>
        </is>
      </c>
      <c r="B23" t="inlineStr">
        <is>
          <t>B7Y7J9JK8U</t>
        </is>
      </c>
      <c r="D23" s="1" t="n">
        <v>634935</v>
      </c>
      <c r="E23" t="inlineStr">
        <is>
          <t>Servizio 10</t>
        </is>
      </c>
      <c r="F23" t="inlineStr">
        <is>
          <t>Fornitore 14 S.r.l.</t>
        </is>
      </c>
      <c r="G23">
        <f>IF(VLOOKUP(Contratti[[#This Row],[Fornitore]],Tabella2[],2,FALSE)=0,"n/d",VLOOKUP(Contratti[[#This Row],[Fornitore]],Tabella2[],2,FALSE))</f>
        <v/>
      </c>
      <c r="H23" s="5" t="n">
        <v>373.28</v>
      </c>
      <c r="I23" s="5" t="n">
        <v>0</v>
      </c>
      <c r="J23" s="5">
        <f>Contratti[[#This Row],[Corrispettivo Minimo]]+Contratti[[#This Row],[Corrispettivo Extra]]</f>
        <v/>
      </c>
      <c r="K23" s="2" t="n">
        <v>45748</v>
      </c>
      <c r="L23" s="3" t="n">
        <v>12</v>
      </c>
      <c r="M23" s="2">
        <f>IF(Contratti[[#This Row],[Data di attivazione]]=0,"n/a",EDATE(Contratti[[#This Row],[Data di attivazione]],Contratti[[#This Row],[Mesi contratto]])-1)</f>
        <v/>
      </c>
      <c r="N23" s="4">
        <f>IF(Contratti[[#This Row],[Data di scadenza]]="n/a","n/a",EDATE(Contratti[[#This Row],[Data di scadenza]],-6))</f>
        <v/>
      </c>
      <c r="O2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3" t="inlineStr">
        <is>
          <t>Non rinnovare</t>
        </is>
      </c>
    </row>
    <row r="24">
      <c r="A24" t="inlineStr">
        <is>
          <t>SI00OA4619</t>
        </is>
      </c>
      <c r="B24" t="inlineStr">
        <is>
          <t>BPKJP19U82</t>
        </is>
      </c>
      <c r="C24" t="n">
        <v>627020</v>
      </c>
      <c r="D24" s="1" t="n">
        <v>634935</v>
      </c>
      <c r="E24" t="inlineStr">
        <is>
          <t>Servizio di assistenza 10</t>
        </is>
      </c>
      <c r="F24" t="inlineStr">
        <is>
          <t>Fornitore 04 S.r.l.</t>
        </is>
      </c>
      <c r="G24">
        <f>IF(VLOOKUP(Contratti[[#This Row],[Fornitore]],Tabella2[],2,FALSE)=0,"n/d",VLOOKUP(Contratti[[#This Row],[Fornitore]],Tabella2[],2,FALSE))</f>
        <v/>
      </c>
      <c r="H24" s="5" t="n">
        <v>2128.32</v>
      </c>
      <c r="I24" s="5" t="n">
        <v>6822.55</v>
      </c>
      <c r="J24" s="5">
        <f>Contratti[[#This Row],[Corrispettivo Minimo]]+Contratti[[#This Row],[Corrispettivo Extra]]</f>
        <v/>
      </c>
      <c r="K24" s="2" t="n">
        <v>45413</v>
      </c>
      <c r="L24" s="3" t="n">
        <v>24</v>
      </c>
      <c r="M24" s="2">
        <f>IF(Contratti[[#This Row],[Data di attivazione]]=0,"n/a",EDATE(Contratti[[#This Row],[Data di attivazione]],Contratti[[#This Row],[Mesi contratto]])-1)</f>
        <v/>
      </c>
      <c r="N24" s="4">
        <f>IF(Contratti[[#This Row],[Data di scadenza]]="n/a","n/a",EDATE(Contratti[[#This Row],[Data di scadenza]],-6))</f>
        <v/>
      </c>
      <c r="O2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4" t="inlineStr">
        <is>
          <t>Rinnovato</t>
        </is>
      </c>
    </row>
    <row r="25">
      <c r="A25" t="n">
        <v>5800243748</v>
      </c>
      <c r="B25" t="inlineStr">
        <is>
          <t>BMXAHV5E1F</t>
        </is>
      </c>
      <c r="C25" t="n">
        <v>634935</v>
      </c>
      <c r="D25" s="1" t="inlineStr">
        <is>
          <t>n/a</t>
        </is>
      </c>
      <c r="E25" t="inlineStr">
        <is>
          <t>Licenza software 12</t>
        </is>
      </c>
      <c r="F25" t="inlineStr">
        <is>
          <t>Fornitore 15 S.r.l.</t>
        </is>
      </c>
      <c r="G25">
        <f>IF(VLOOKUP(Contratti[[#This Row],[Fornitore]],Tabella2[],2,FALSE)=0,"n/d",VLOOKUP(Contratti[[#This Row],[Fornitore]],Tabella2[],2,FALSE))</f>
        <v/>
      </c>
      <c r="H25" s="5" t="n">
        <v>18004.19</v>
      </c>
      <c r="I25" s="5" t="n">
        <v>0</v>
      </c>
      <c r="J25" s="5">
        <f>Contratti[[#This Row],[Corrispettivo Minimo]]+Contratti[[#This Row],[Corrispettivo Extra]]</f>
        <v/>
      </c>
      <c r="K25" s="2" t="n">
        <v>45831</v>
      </c>
      <c r="L25" s="3" t="n">
        <v>12</v>
      </c>
      <c r="M25" s="2">
        <f>IF(Contratti[[#This Row],[Data di attivazione]]=0,"n/a",EDATE(Contratti[[#This Row],[Data di attivazione]],Contratti[[#This Row],[Mesi contratto]])-1)</f>
        <v/>
      </c>
      <c r="N25" s="4">
        <f>IF(Contratti[[#This Row],[Data di scadenza]]="n/a","n/a",EDATE(Contratti[[#This Row],[Data di scadenza]],-6))</f>
        <v/>
      </c>
      <c r="O2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5" t="inlineStr">
        <is>
          <t>Non rinnovare</t>
        </is>
      </c>
      <c r="Q25" t="inlineStr">
        <is>
          <t>sollecitato referente</t>
        </is>
      </c>
    </row>
    <row r="26">
      <c r="A26" t="inlineStr">
        <is>
          <t>OA1 203/23</t>
        </is>
      </c>
      <c r="B26" t="inlineStr">
        <is>
          <t>BPKESESV3U</t>
        </is>
      </c>
      <c r="C26" t="n">
        <v>634935</v>
      </c>
      <c r="D26" s="1" t="n">
        <v>634935</v>
      </c>
      <c r="E26" t="inlineStr">
        <is>
          <t>Licenza software 13</t>
        </is>
      </c>
      <c r="F26" t="inlineStr">
        <is>
          <t>Fornitore 16 S.r.l.</t>
        </is>
      </c>
      <c r="G26">
        <f>IF(VLOOKUP(Contratti[[#This Row],[Fornitore]],Tabella2[],2,FALSE)=0,"n/d",VLOOKUP(Contratti[[#This Row],[Fornitore]],Tabella2[],2,FALSE))</f>
        <v/>
      </c>
      <c r="H26" s="5" t="n">
        <v>4591.11</v>
      </c>
      <c r="I26" s="5" t="n">
        <v>0</v>
      </c>
      <c r="J26" s="5">
        <f>Contratti[[#This Row],[Corrispettivo Minimo]]+Contratti[[#This Row],[Corrispettivo Extra]]</f>
        <v/>
      </c>
      <c r="K26" s="2" t="n">
        <v>45838</v>
      </c>
      <c r="L26" s="3" t="n">
        <v>12</v>
      </c>
      <c r="M26" s="2">
        <f>IF(Contratti[[#This Row],[Data di attivazione]]=0,"n/a",EDATE(Contratti[[#This Row],[Data di attivazione]],Contratti[[#This Row],[Mesi contratto]])-1)</f>
        <v/>
      </c>
      <c r="N26" s="4">
        <f>IF(Contratti[[#This Row],[Data di scadenza]]="n/a","n/a",EDATE(Contratti[[#This Row],[Data di scadenza]],-6))</f>
        <v/>
      </c>
      <c r="O2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6" t="inlineStr">
        <is>
          <t>Non rinnovare</t>
        </is>
      </c>
      <c r="Q26" t="inlineStr">
        <is>
          <t>Gestito da terzi</t>
        </is>
      </c>
    </row>
    <row r="27">
      <c r="A27" t="inlineStr">
        <is>
          <t>SI25244659</t>
        </is>
      </c>
      <c r="B27" t="inlineStr">
        <is>
          <t>B6J1GQPNN8</t>
        </is>
      </c>
      <c r="C27" t="n">
        <v>634935</v>
      </c>
      <c r="D27" s="1" t="inlineStr">
        <is>
          <t>n/a</t>
        </is>
      </c>
      <c r="E27" t="inlineStr">
        <is>
          <t>Licenza software 14</t>
        </is>
      </c>
      <c r="F27" t="inlineStr">
        <is>
          <t>Fornitore 16 S.r.l.</t>
        </is>
      </c>
      <c r="G27">
        <f>IF(VLOOKUP(Contratti[[#This Row],[Fornitore]],Tabella2[],2,FALSE)=0,"n/d",VLOOKUP(Contratti[[#This Row],[Fornitore]],Tabella2[],2,FALSE))</f>
        <v/>
      </c>
      <c r="H27" s="5" t="n">
        <v>1222</v>
      </c>
      <c r="I27" s="5" t="n">
        <v>0</v>
      </c>
      <c r="J27" s="5">
        <f>Contratti[[#This Row],[Corrispettivo Minimo]]+Contratti[[#This Row],[Corrispettivo Extra]]</f>
        <v/>
      </c>
      <c r="K27" s="2" t="n">
        <v>45838</v>
      </c>
      <c r="L27" s="3" t="n">
        <v>12</v>
      </c>
      <c r="M27" s="2">
        <f>IF(Contratti[[#This Row],[Data di attivazione]]=0,"n/a",EDATE(Contratti[[#This Row],[Data di attivazione]],Contratti[[#This Row],[Mesi contratto]])-1)</f>
        <v/>
      </c>
      <c r="N27" s="4">
        <f>IF(Contratti[[#This Row],[Data di scadenza]]="n/a","n/a",EDATE(Contratti[[#This Row],[Data di scadenza]],-6))</f>
        <v/>
      </c>
      <c r="O2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7" t="inlineStr">
        <is>
          <t>Non rinnovare</t>
        </is>
      </c>
      <c r="Q27" t="inlineStr">
        <is>
          <t>Gestito da terzi</t>
        </is>
      </c>
    </row>
    <row r="28">
      <c r="A28" t="inlineStr">
        <is>
          <t>SI006C6414</t>
        </is>
      </c>
      <c r="B28" t="inlineStr">
        <is>
          <t>ZZNUACDW5Z</t>
        </is>
      </c>
      <c r="C28" t="n">
        <v>634935</v>
      </c>
      <c r="D28" s="1" t="inlineStr">
        <is>
          <t>n/a</t>
        </is>
      </c>
      <c r="E28" t="inlineStr">
        <is>
          <t>Licenza software 15</t>
        </is>
      </c>
      <c r="F28" t="inlineStr">
        <is>
          <t>Fornitore 16 S.r.l.</t>
        </is>
      </c>
      <c r="G28">
        <f>IF(VLOOKUP(Contratti[[#This Row],[Fornitore]],Tabella2[],2,FALSE)=0,"n/d",VLOOKUP(Contratti[[#This Row],[Fornitore]],Tabella2[],2,FALSE))</f>
        <v/>
      </c>
      <c r="H28" s="5" t="n">
        <v>7201.63</v>
      </c>
      <c r="I28" s="5" t="n">
        <v>0</v>
      </c>
      <c r="J28" s="5">
        <f>Contratti[[#This Row],[Corrispettivo Minimo]]+Contratti[[#This Row],[Corrispettivo Extra]]</f>
        <v/>
      </c>
      <c r="K28" s="2" t="n">
        <v>45838</v>
      </c>
      <c r="L28" s="3" t="n">
        <v>12</v>
      </c>
      <c r="M28" s="2">
        <f>IF(Contratti[[#This Row],[Data di attivazione]]=0,"n/a",EDATE(Contratti[[#This Row],[Data di attivazione]],Contratti[[#This Row],[Mesi contratto]])-1)</f>
        <v/>
      </c>
      <c r="N28" s="4">
        <f>IF(Contratti[[#This Row],[Data di scadenza]]="n/a","n/a",EDATE(Contratti[[#This Row],[Data di scadenza]],-6))</f>
        <v/>
      </c>
      <c r="O2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8" t="inlineStr">
        <is>
          <t>Non rinnovare</t>
        </is>
      </c>
      <c r="Q28" t="inlineStr">
        <is>
          <t>Gestito da terzi</t>
        </is>
      </c>
    </row>
    <row r="29">
      <c r="A29" t="n">
        <v>7300447263</v>
      </c>
      <c r="B29" t="inlineStr">
        <is>
          <t>BMNXMOYE3M</t>
        </is>
      </c>
      <c r="C29" t="n">
        <v>627020</v>
      </c>
      <c r="D29" s="1" t="inlineStr">
        <is>
          <t>634935</t>
        </is>
      </c>
      <c r="E29" t="inlineStr">
        <is>
          <t>Servizio di assistenza 11</t>
        </is>
      </c>
      <c r="F29" t="inlineStr">
        <is>
          <t>Fornitore 17 S.r.l.</t>
        </is>
      </c>
      <c r="G29">
        <f>IF(VLOOKUP(Contratti[[#This Row],[Fornitore]],Tabella2[],2,FALSE)=0,"n/d",VLOOKUP(Contratti[[#This Row],[Fornitore]],Tabella2[],2,FALSE))</f>
        <v/>
      </c>
      <c r="H29" s="5" t="n">
        <v>17691.39</v>
      </c>
      <c r="I29" s="5" t="n">
        <v>0</v>
      </c>
      <c r="J29" s="5">
        <f>Contratti[[#This Row],[Corrispettivo Minimo]]+Contratti[[#This Row],[Corrispettivo Extra]]</f>
        <v/>
      </c>
      <c r="K29" s="2" t="n">
        <v>45839</v>
      </c>
      <c r="L29" s="3" t="n">
        <v>12</v>
      </c>
      <c r="M29" s="2">
        <f>IF(Contratti[[#This Row],[Data di attivazione]]=0,"n/a",EDATE(Contratti[[#This Row],[Data di attivazione]],Contratti[[#This Row],[Mesi contratto]])-1)</f>
        <v/>
      </c>
      <c r="N29" s="4">
        <f>IF(Contratti[[#This Row],[Data di scadenza]]="n/a","n/a",EDATE(Contratti[[#This Row],[Data di scadenza]],-6))</f>
        <v/>
      </c>
      <c r="O2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9" t="inlineStr">
        <is>
          <t>Rinnovato</t>
        </is>
      </c>
    </row>
    <row r="30">
      <c r="A30" t="n">
        <v>5800829771</v>
      </c>
      <c r="B30" t="inlineStr">
        <is>
          <t>BIP1ZOZY5V</t>
        </is>
      </c>
      <c r="C30" t="n">
        <v>627020</v>
      </c>
      <c r="D30" s="1" t="n">
        <v>634935</v>
      </c>
      <c r="E30" t="inlineStr">
        <is>
          <t>Servizio di assistenza 12</t>
        </is>
      </c>
      <c r="F30" t="inlineStr">
        <is>
          <t>Fornitore 02 S.r.l.</t>
        </is>
      </c>
      <c r="G30">
        <f>IF(VLOOKUP(Contratti[[#This Row],[Fornitore]],Tabella2[],2,FALSE)=0,"n/d",VLOOKUP(Contratti[[#This Row],[Fornitore]],Tabella2[],2,FALSE))</f>
        <v/>
      </c>
      <c r="H30" s="5" t="n">
        <v>5304.17</v>
      </c>
      <c r="I30" s="5" t="n">
        <v>0</v>
      </c>
      <c r="J30" s="5" t="n">
        <v>17680.55</v>
      </c>
      <c r="K30" s="2" t="n">
        <v>45870</v>
      </c>
      <c r="L30" s="3" t="n">
        <v>12</v>
      </c>
      <c r="M30" s="2">
        <f>IF(Contratti[[#This Row],[Data di attivazione]]=0,"n/a",EDATE(Contratti[[#This Row],[Data di attivazione]],Contratti[[#This Row],[Mesi contratto]])-1)</f>
        <v/>
      </c>
      <c r="N30" s="4">
        <f>IF(Contratti[[#This Row],[Data di scadenza]]="n/a","n/a",EDATE(Contratti[[#This Row],[Data di scadenza]],-6))</f>
        <v/>
      </c>
      <c r="O3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0" t="inlineStr">
        <is>
          <t>Rinnovato</t>
        </is>
      </c>
      <c r="Q30" t="inlineStr">
        <is>
          <t>RDA 3563270716</t>
        </is>
      </c>
    </row>
    <row r="31">
      <c r="A31" t="n">
        <v>7300712704</v>
      </c>
      <c r="B31" t="inlineStr">
        <is>
          <t>B4IMKQJCHS</t>
        </is>
      </c>
      <c r="C31" t="n">
        <v>627020</v>
      </c>
      <c r="D31" s="1" t="n">
        <v>635220</v>
      </c>
      <c r="E31" t="inlineStr">
        <is>
          <t>Servizio 14</t>
        </is>
      </c>
      <c r="F31" t="inlineStr">
        <is>
          <t>Fornitore 02 S.r.l.</t>
        </is>
      </c>
      <c r="G31">
        <f>IF(VLOOKUP(Contratti[[#This Row],[Fornitore]],Tabella2[],2,FALSE)=0,"n/d",VLOOKUP(Contratti[[#This Row],[Fornitore]],Tabella2[],2,FALSE))</f>
        <v/>
      </c>
      <c r="H31" s="5" t="n">
        <v>6232.97</v>
      </c>
      <c r="I31" s="5" t="n">
        <v>0</v>
      </c>
      <c r="J31" s="5">
        <f>Contratti[[#This Row],[Corrispettivo Minimo]]+Contratti[[#This Row],[Corrispettivo Extra]]</f>
        <v/>
      </c>
      <c r="K31" s="2" t="n">
        <v>45870</v>
      </c>
      <c r="L31" s="3" t="n">
        <v>12</v>
      </c>
      <c r="M31" s="2">
        <f>IF(Contratti[[#This Row],[Data di attivazione]]=0,"n/a",EDATE(Contratti[[#This Row],[Data di attivazione]],Contratti[[#This Row],[Mesi contratto]])-1)</f>
        <v/>
      </c>
      <c r="N31" s="4">
        <f>IF(Contratti[[#This Row],[Data di scadenza]]="n/a","n/a",EDATE(Contratti[[#This Row],[Data di scadenza]],-6))</f>
        <v/>
      </c>
      <c r="O3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1" t="inlineStr">
        <is>
          <t>Rinnovato</t>
        </is>
      </c>
      <c r="Q31" t="inlineStr">
        <is>
          <t>RDA 7014948468</t>
        </is>
      </c>
    </row>
    <row r="32">
      <c r="A32" t="n">
        <v>7300900848</v>
      </c>
      <c r="B32" t="inlineStr">
        <is>
          <t>BEDRSW4N6G</t>
        </is>
      </c>
      <c r="C32" t="n">
        <v>634935</v>
      </c>
      <c r="D32" t="inlineStr">
        <is>
          <t>n/a</t>
        </is>
      </c>
      <c r="E32" t="inlineStr">
        <is>
          <t>Licenza software 16</t>
        </is>
      </c>
      <c r="F32" t="inlineStr">
        <is>
          <t>Fornitore 18 S.r.l.</t>
        </is>
      </c>
      <c r="G32">
        <f>IF(VLOOKUP(Contratti[[#This Row],[Fornitore]],Tabella2[],2,FALSE)=0,"n/d",VLOOKUP(Contratti[[#This Row],[Fornitore]],Tabella2[],2,FALSE))</f>
        <v/>
      </c>
      <c r="H32" s="5" t="n">
        <v>106.9</v>
      </c>
      <c r="I32" s="5" t="n">
        <v>0</v>
      </c>
      <c r="J32" s="5">
        <f>Contratti[[#This Row],[Corrispettivo Minimo]]+Contratti[[#This Row],[Corrispettivo Extra]]</f>
        <v/>
      </c>
      <c r="K32" s="2" t="n">
        <v>45878</v>
      </c>
      <c r="L32" s="3" t="n">
        <v>12</v>
      </c>
      <c r="M32" s="2">
        <f>IF(Contratti[[#This Row],[Data di attivazione]]=0,"n/a",EDATE(Contratti[[#This Row],[Data di attivazione]],Contratti[[#This Row],[Mesi contratto]])-1)</f>
        <v/>
      </c>
      <c r="N32" s="4">
        <f>IF(Contratti[[#This Row],[Data di scadenza]]="n/a","n/a",EDATE(Contratti[[#This Row],[Data di scadenza]],-6))</f>
        <v/>
      </c>
      <c r="O3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2" t="inlineStr">
        <is>
          <t>Rinnovato</t>
        </is>
      </c>
    </row>
    <row r="33">
      <c r="A33" t="n">
        <v>5000577575</v>
      </c>
      <c r="B33" t="inlineStr">
        <is>
          <t>BOAHW7JYH9</t>
        </is>
      </c>
      <c r="C33" t="n">
        <v>627020</v>
      </c>
      <c r="D33" s="1" t="n">
        <v>634935</v>
      </c>
      <c r="E33" t="inlineStr">
        <is>
          <t>Servizio di assistenza 13</t>
        </is>
      </c>
      <c r="F33" t="inlineStr">
        <is>
          <t>Fornitore 19 S.r.l.</t>
        </is>
      </c>
      <c r="G33">
        <f>IF(VLOOKUP(Contratti[[#This Row],[Fornitore]],Tabella2[],2,FALSE)=0,"n/d",VLOOKUP(Contratti[[#This Row],[Fornitore]],Tabella2[],2,FALSE))</f>
        <v/>
      </c>
      <c r="H33" s="5" t="n">
        <v>2551.75</v>
      </c>
      <c r="I33" s="5" t="n">
        <v>0</v>
      </c>
      <c r="J33" s="5">
        <f>Contratti[[#This Row],[Corrispettivo Minimo]]+Contratti[[#This Row],[Corrispettivo Extra]]</f>
        <v/>
      </c>
      <c r="K33" s="2" t="n">
        <v>45882</v>
      </c>
      <c r="L33" s="3" t="n">
        <v>12</v>
      </c>
      <c r="M33" s="2">
        <f>IF(Contratti[[#This Row],[Data di attivazione]]=0,"n/a",EDATE(Contratti[[#This Row],[Data di attivazione]],Contratti[[#This Row],[Mesi contratto]])-1)</f>
        <v/>
      </c>
      <c r="N33" s="4">
        <f>IF(Contratti[[#This Row],[Data di scadenza]]="n/a","n/a",EDATE(Contratti[[#This Row],[Data di scadenza]],-6))</f>
        <v/>
      </c>
      <c r="O3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3" t="inlineStr">
        <is>
          <t>Rinnovato</t>
        </is>
      </c>
      <c r="Q33" t="inlineStr">
        <is>
          <t>RDA 1061723870</t>
        </is>
      </c>
    </row>
    <row r="34">
      <c r="A34" t="n">
        <v>7300900848</v>
      </c>
      <c r="B34" t="inlineStr">
        <is>
          <t>BEDRSW4N6G</t>
        </is>
      </c>
      <c r="C34" t="n">
        <v>634935</v>
      </c>
      <c r="D34" t="inlineStr">
        <is>
          <t>n/a</t>
        </is>
      </c>
      <c r="E34" t="inlineStr">
        <is>
          <t>Licenza software 17</t>
        </is>
      </c>
      <c r="F34" t="inlineStr">
        <is>
          <t>Fornitore 18 S.r.l.</t>
        </is>
      </c>
      <c r="G34">
        <f>IF(VLOOKUP(Contratti[[#This Row],[Fornitore]],Tabella2[],2,FALSE)=0,"n/d",VLOOKUP(Contratti[[#This Row],[Fornitore]],Tabella2[],2,FALSE))</f>
        <v/>
      </c>
      <c r="H34" s="5" t="n">
        <v>10.27</v>
      </c>
      <c r="I34" s="5" t="n">
        <v>0</v>
      </c>
      <c r="J34" s="5">
        <f>Contratti[[#This Row],[Corrispettivo Minimo]]+Contratti[[#This Row],[Corrispettivo Extra]]</f>
        <v/>
      </c>
      <c r="K34" s="2" t="n">
        <v>45889</v>
      </c>
      <c r="L34" s="3" t="n">
        <v>12</v>
      </c>
      <c r="M34" s="2">
        <f>IF(Contratti[[#This Row],[Data di attivazione]]=0,"n/a",EDATE(Contratti[[#This Row],[Data di attivazione]],Contratti[[#This Row],[Mesi contratto]])-1)</f>
        <v/>
      </c>
      <c r="N34" s="4">
        <f>IF(Contratti[[#This Row],[Data di scadenza]]="n/a","n/a",EDATE(Contratti[[#This Row],[Data di scadenza]],-6))</f>
        <v/>
      </c>
      <c r="O3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4" t="inlineStr">
        <is>
          <t>Rinnovato</t>
        </is>
      </c>
    </row>
    <row r="35">
      <c r="A35" t="n">
        <v>5800091127</v>
      </c>
      <c r="B35" t="inlineStr">
        <is>
          <t>BOTTTV9B1F</t>
        </is>
      </c>
      <c r="C35" t="n">
        <v>634935</v>
      </c>
      <c r="D35" s="1" t="inlineStr">
        <is>
          <t>634935</t>
        </is>
      </c>
      <c r="E35" t="inlineStr">
        <is>
          <t>Licenza software 01</t>
        </is>
      </c>
      <c r="F35" t="inlineStr">
        <is>
          <t>Fornitore 01 S.r.l.</t>
        </is>
      </c>
      <c r="G35">
        <f>IF(VLOOKUP(Contratti[[#This Row],[Fornitore]],Tabella2[],2,FALSE)=0,"n/d",VLOOKUP(Contratti[[#This Row],[Fornitore]],Tabella2[],2,FALSE))</f>
        <v/>
      </c>
      <c r="H35" s="5" t="n">
        <v>7130.51</v>
      </c>
      <c r="I35" s="5" t="n">
        <v>0</v>
      </c>
      <c r="J35" s="5">
        <f>Contratti[[#This Row],[Corrispettivo Minimo]]+Contratti[[#This Row],[Corrispettivo Extra]]</f>
        <v/>
      </c>
      <c r="K35" s="2" t="n">
        <v>45901</v>
      </c>
      <c r="L35" s="3" t="n">
        <v>12</v>
      </c>
      <c r="M35" s="2">
        <f>IF(Contratti[[#This Row],[Data di attivazione]]=0,"n/a",EDATE(Contratti[[#This Row],[Data di attivazione]],Contratti[[#This Row],[Mesi contratto]])-1)</f>
        <v/>
      </c>
      <c r="N35" s="4">
        <f>IF(Contratti[[#This Row],[Data di scadenza]]="n/a","n/a",EDATE(Contratti[[#This Row],[Data di scadenza]],-6))</f>
        <v/>
      </c>
      <c r="O3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5" t="inlineStr">
        <is>
          <t>Rinnovato</t>
        </is>
      </c>
      <c r="Q35" t="inlineStr">
        <is>
          <t>RDA 6071585707</t>
        </is>
      </c>
    </row>
    <row r="36">
      <c r="A36" t="n">
        <v>5800749192</v>
      </c>
      <c r="B36" t="inlineStr">
        <is>
          <t>BEUCJMS0FG</t>
        </is>
      </c>
      <c r="C36" t="n">
        <v>634935</v>
      </c>
      <c r="D36" s="1" t="inlineStr">
        <is>
          <t>634935</t>
        </is>
      </c>
      <c r="E36" t="inlineStr">
        <is>
          <t>Licenza software 03</t>
        </is>
      </c>
      <c r="F36" t="inlineStr">
        <is>
          <t>Fornitore 04 S.r.l.</t>
        </is>
      </c>
      <c r="G36">
        <f>IF(VLOOKUP(Contratti[[#This Row],[Fornitore]],Tabella2[],2,FALSE)=0,"n/d",VLOOKUP(Contratti[[#This Row],[Fornitore]],Tabella2[],2,FALSE))</f>
        <v/>
      </c>
      <c r="H36" s="5" t="n">
        <v>4782.27</v>
      </c>
      <c r="I36" s="5" t="n">
        <v>0</v>
      </c>
      <c r="J36" s="5">
        <f>Contratti[[#This Row],[Corrispettivo Minimo]]+Contratti[[#This Row],[Corrispettivo Extra]]</f>
        <v/>
      </c>
      <c r="K36" s="2" t="n">
        <v>45931</v>
      </c>
      <c r="L36" s="3" t="n">
        <v>12</v>
      </c>
      <c r="M36" s="2">
        <f>IF(Contratti[[#This Row],[Data di attivazione]]=0,"n/a",EDATE(Contratti[[#This Row],[Data di attivazione]],Contratti[[#This Row],[Mesi contratto]])-1)</f>
        <v/>
      </c>
      <c r="N36" s="4">
        <f>IF(Contratti[[#This Row],[Data di scadenza]]="n/a","n/a",EDATE(Contratti[[#This Row],[Data di scadenza]],-6))</f>
        <v/>
      </c>
      <c r="O3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6" t="inlineStr">
        <is>
          <t>Rinnovato</t>
        </is>
      </c>
      <c r="Q36" t="n">
        <v>5100004685</v>
      </c>
    </row>
    <row r="37">
      <c r="A37" t="n">
        <v>5800607866</v>
      </c>
      <c r="B37" t="inlineStr">
        <is>
          <t>BQP6ZIOVOU</t>
        </is>
      </c>
      <c r="C37" t="n">
        <v>634935</v>
      </c>
      <c r="D37" s="1" t="inlineStr">
        <is>
          <t>634935</t>
        </is>
      </c>
      <c r="E37" t="inlineStr">
        <is>
          <t>Licenza software 18</t>
        </is>
      </c>
      <c r="F37" t="inlineStr">
        <is>
          <t>Fornitore 20 S.r.l.</t>
        </is>
      </c>
      <c r="G37">
        <f>IF(VLOOKUP(Contratti[[#This Row],[Fornitore]],Tabella2[],2,FALSE)=0,"n/d",VLOOKUP(Contratti[[#This Row],[Fornitore]],Tabella2[],2,FALSE))</f>
        <v/>
      </c>
      <c r="H37" s="5" t="n">
        <v>261.64</v>
      </c>
      <c r="I37" s="5" t="n">
        <v>0</v>
      </c>
      <c r="J37" s="5">
        <f>Contratti[[#This Row],[Corrispettivo Minimo]]+Contratti[[#This Row],[Corrispettivo Extra]]</f>
        <v/>
      </c>
      <c r="K37" s="2" t="n">
        <v>45983</v>
      </c>
      <c r="L37" s="3" t="n">
        <v>12</v>
      </c>
      <c r="M37" s="2">
        <f>IF(Contratti[[#This Row],[Data di attivazione]]=0,"n/a",EDATE(Contratti[[#This Row],[Data di attivazione]],Contratti[[#This Row],[Mesi contratto]])-1)</f>
        <v/>
      </c>
      <c r="N37" s="4">
        <f>IF(Contratti[[#This Row],[Data di scadenza]]="n/a","n/a",EDATE(Contratti[[#This Row],[Data di scadenza]],-6))</f>
        <v/>
      </c>
      <c r="O3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7" t="inlineStr">
        <is>
          <t>Rinnovato</t>
        </is>
      </c>
      <c r="Q37" t="inlineStr">
        <is>
          <t>rinnovato senza contratto</t>
        </is>
      </c>
    </row>
    <row r="38">
      <c r="A38" t="n">
        <v>7300900848</v>
      </c>
      <c r="B38" t="inlineStr">
        <is>
          <t>BEDRSW4N6G</t>
        </is>
      </c>
      <c r="C38" t="n">
        <v>634935</v>
      </c>
      <c r="D38" s="1" t="n"/>
      <c r="E38" t="inlineStr">
        <is>
          <t>Licenza software 19</t>
        </is>
      </c>
      <c r="F38" t="inlineStr">
        <is>
          <t>Fornitore 18 S.r.l.</t>
        </is>
      </c>
      <c r="G38">
        <f>IF(VLOOKUP(Contratti[[#This Row],[Fornitore]],Tabella2[],2,FALSE)=0,"n/d",VLOOKUP(Contratti[[#This Row],[Fornitore]],Tabella2[],2,FALSE))</f>
        <v/>
      </c>
      <c r="H38" s="5" t="n">
        <v>0</v>
      </c>
      <c r="I38" s="5" t="n">
        <v>0</v>
      </c>
      <c r="J38" s="5">
        <f>Contratti[[#This Row],[Corrispettivo Minimo]]+Contratti[[#This Row],[Corrispettivo Extra]]</f>
        <v/>
      </c>
      <c r="K38" s="2" t="n">
        <v>45812</v>
      </c>
      <c r="L38" s="3" t="n">
        <v>18</v>
      </c>
      <c r="M38" s="2">
        <f>IF(Contratti[[#This Row],[Data di attivazione]]=0,"n/a",EDATE(Contratti[[#This Row],[Data di attivazione]],Contratti[[#This Row],[Mesi contratto]])-1)</f>
        <v/>
      </c>
      <c r="N38" s="4">
        <f>IF(Contratti[[#This Row],[Data di scadenza]]="n/a","n/a",EDATE(Contratti[[#This Row],[Data di scadenza]],-6))</f>
        <v/>
      </c>
      <c r="O3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8" t="inlineStr">
        <is>
          <t>Rinnovato</t>
        </is>
      </c>
      <c r="Q38" t="inlineStr">
        <is>
          <t>rinnovato senza contratto</t>
        </is>
      </c>
    </row>
    <row r="39">
      <c r="A39" t="n">
        <v>7300900848</v>
      </c>
      <c r="B39" t="inlineStr">
        <is>
          <t>BEDRSW4N6G</t>
        </is>
      </c>
      <c r="C39" t="n">
        <v>634935</v>
      </c>
      <c r="D39" t="inlineStr">
        <is>
          <t>n/a</t>
        </is>
      </c>
      <c r="E39" t="inlineStr">
        <is>
          <t>Licenza software 20</t>
        </is>
      </c>
      <c r="F39" t="inlineStr">
        <is>
          <t>Fornitore 18 S.r.l.</t>
        </is>
      </c>
      <c r="G39">
        <f>IF(VLOOKUP(Contratti[[#This Row],[Fornitore]],Tabella2[],2,FALSE)=0,"n/d",VLOOKUP(Contratti[[#This Row],[Fornitore]],Tabella2[],2,FALSE))</f>
        <v/>
      </c>
      <c r="H39" s="5" t="n">
        <v>0</v>
      </c>
      <c r="I39" s="5" t="n">
        <v>0</v>
      </c>
      <c r="J39" s="5" t="n">
        <v>0</v>
      </c>
      <c r="K39" s="2" t="n">
        <v>45995</v>
      </c>
      <c r="L39" s="3" t="n">
        <v>12</v>
      </c>
      <c r="M39" s="2">
        <f>IF(Contratti[[#This Row],[Data di attivazione]]=0,"n/a",EDATE(Contratti[[#This Row],[Data di attivazione]],Contratti[[#This Row],[Mesi contratto]])-1)</f>
        <v/>
      </c>
      <c r="N39" s="4">
        <f>IF(Contratti[[#This Row],[Data di scadenza]]="n/a","n/a",EDATE(Contratti[[#This Row],[Data di scadenza]],-6))</f>
        <v/>
      </c>
      <c r="O3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9" t="inlineStr">
        <is>
          <t>Rinnovato</t>
        </is>
      </c>
      <c r="Q39" t="inlineStr">
        <is>
          <t>rinnovato senza contratto</t>
        </is>
      </c>
    </row>
    <row r="40">
      <c r="A40" t="n">
        <v>5800138737</v>
      </c>
      <c r="B40" t="inlineStr">
        <is>
          <t>B1X1DMHPAQ</t>
        </is>
      </c>
      <c r="C40" t="n">
        <v>634935</v>
      </c>
      <c r="D40" s="1" t="inlineStr">
        <is>
          <t>n/a</t>
        </is>
      </c>
      <c r="E40" t="inlineStr">
        <is>
          <t>Licenza software 21</t>
        </is>
      </c>
      <c r="F40" t="inlineStr">
        <is>
          <t>Fornitore 02 S.r.l.</t>
        </is>
      </c>
      <c r="G40">
        <f>IF(VLOOKUP(Contratti[[#This Row],[Fornitore]],Tabella2[],2,FALSE)=0,"n/d",VLOOKUP(Contratti[[#This Row],[Fornitore]],Tabella2[],2,FALSE))</f>
        <v/>
      </c>
      <c r="H40" s="5" t="n">
        <v>1691.39</v>
      </c>
      <c r="I40" s="5" t="n">
        <v>0</v>
      </c>
      <c r="J40" s="5">
        <f>Contratti[[#This Row],[Corrispettivo Minimo]]+Contratti[[#This Row],[Corrispettivo Extra]]</f>
        <v/>
      </c>
      <c r="K40" s="2" t="n">
        <v>46005</v>
      </c>
      <c r="L40" s="3" t="n">
        <v>12</v>
      </c>
      <c r="M40" s="2">
        <f>IF(Contratti[[#This Row],[Data di attivazione]]=0,"n/a",EDATE(Contratti[[#This Row],[Data di attivazione]],Contratti[[#This Row],[Mesi contratto]])-1)</f>
        <v/>
      </c>
      <c r="N40" s="4">
        <f>IF(Contratti[[#This Row],[Data di scadenza]]="n/a","n/a",EDATE(Contratti[[#This Row],[Data di scadenza]],-6))</f>
        <v/>
      </c>
      <c r="O4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0" t="inlineStr">
        <is>
          <t>Non rinnovare</t>
        </is>
      </c>
    </row>
    <row r="41">
      <c r="A41" t="n">
        <v>7300456608</v>
      </c>
      <c r="B41" t="inlineStr">
        <is>
          <t>B97AB8UULW</t>
        </is>
      </c>
      <c r="C41" t="n">
        <v>627020</v>
      </c>
      <c r="D41" s="1" t="n">
        <v>634935</v>
      </c>
      <c r="E41" t="inlineStr">
        <is>
          <t>Servizio di assistenza 02</t>
        </is>
      </c>
      <c r="F41" t="inlineStr">
        <is>
          <t>Fornitore 06 S.r.l.</t>
        </is>
      </c>
      <c r="G41">
        <f>IF(VLOOKUP(Contratti[[#This Row],[Fornitore]],Tabella2[],2,FALSE)=0,"n/d",VLOOKUP(Contratti[[#This Row],[Fornitore]],Tabella2[],2,FALSE))</f>
        <v/>
      </c>
      <c r="H41" s="5" t="n">
        <v>4486.34</v>
      </c>
      <c r="I41" s="5" t="n">
        <v>0</v>
      </c>
      <c r="J41" s="5">
        <f>Contratti[[#This Row],[Corrispettivo Minimo]]+Contratti[[#This Row],[Corrispettivo Extra]]</f>
        <v/>
      </c>
      <c r="K41" s="2" t="n">
        <v>46009</v>
      </c>
      <c r="L41" s="3" t="n">
        <v>12</v>
      </c>
      <c r="M41" s="2">
        <f>IF(Contratti[[#This Row],[Data di attivazione]]=0,"n/a",EDATE(Contratti[[#This Row],[Data di attivazione]],Contratti[[#This Row],[Mesi contratto]])-1)</f>
        <v/>
      </c>
      <c r="N41" s="4">
        <f>IF(Contratti[[#This Row],[Data di scadenza]]="n/a","n/a",EDATE(Contratti[[#This Row],[Data di scadenza]],-6))</f>
        <v/>
      </c>
      <c r="O4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1" t="inlineStr">
        <is>
          <t>RDA Predisposta</t>
        </is>
      </c>
      <c r="Q41" t="n">
        <v>5100004438</v>
      </c>
    </row>
    <row r="42">
      <c r="A42" t="inlineStr">
        <is>
          <t>﻿5800593497</t>
        </is>
      </c>
      <c r="B42" t="inlineStr">
        <is>
          <t>﻿B2HIBI36J2</t>
        </is>
      </c>
      <c r="C42" t="n">
        <v>634935</v>
      </c>
      <c r="D42" t="inlineStr">
        <is>
          <t>n/a</t>
        </is>
      </c>
      <c r="E42" t="inlineStr">
        <is>
          <t>Licenza software 07</t>
        </is>
      </c>
      <c r="F42" t="inlineStr">
        <is>
          <t>Fornitore 21 S.r.l.</t>
        </is>
      </c>
      <c r="G42">
        <f>IF(VLOOKUP(Contratti[[#This Row],[Fornitore]],Tabella2[],2,FALSE)=0,"n/d",VLOOKUP(Contratti[[#This Row],[Fornitore]],Tabella2[],2,FALSE))</f>
        <v/>
      </c>
      <c r="H42" s="5" t="n">
        <v>5129.86</v>
      </c>
      <c r="I42" s="5" t="n">
        <v>0</v>
      </c>
      <c r="J42" s="5">
        <f>Contratti[[#This Row],[Corrispettivo Minimo]]+Contratti[[#This Row],[Corrispettivo Extra]]</f>
        <v/>
      </c>
      <c r="K42" s="2" t="n">
        <v>46012</v>
      </c>
      <c r="L42" s="3" t="n">
        <v>12</v>
      </c>
      <c r="M42" s="2">
        <f>IF(Contratti[[#This Row],[Data di attivazione]]=0,"n/a",EDATE(Contratti[[#This Row],[Data di attivazione]],Contratti[[#This Row],[Mesi contratto]])-1)</f>
        <v/>
      </c>
      <c r="N42" s="4">
        <f>IF(Contratti[[#This Row],[Data di scadenza]]="n/a","n/a",EDATE(Contratti[[#This Row],[Data di scadenza]],-6))</f>
        <v/>
      </c>
      <c r="O4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2" t="inlineStr">
        <is>
          <t>Offerta richiesta</t>
        </is>
      </c>
    </row>
    <row r="43">
      <c r="A43" t="inlineStr">
        <is>
          <t>OA1 13/24</t>
        </is>
      </c>
      <c r="B43" t="inlineStr">
        <is>
          <t>BALYYZGRMM</t>
        </is>
      </c>
      <c r="C43" t="n">
        <v>627020</v>
      </c>
      <c r="D43" s="1" t="n">
        <v>634935</v>
      </c>
      <c r="E43" t="inlineStr">
        <is>
          <t>Servizio di assistenza 14</t>
        </is>
      </c>
      <c r="F43" t="inlineStr">
        <is>
          <t>Fornitore 22 S.r.l.</t>
        </is>
      </c>
      <c r="G43">
        <f>IF(VLOOKUP(Contratti[[#This Row],[Fornitore]],Tabella2[],2,FALSE)=0,"n/d",VLOOKUP(Contratti[[#This Row],[Fornitore]],Tabella2[],2,FALSE))</f>
        <v/>
      </c>
      <c r="H43" s="5" t="n">
        <v>1760.98</v>
      </c>
      <c r="I43" s="5" t="n">
        <v>0</v>
      </c>
      <c r="J43" s="5">
        <f>Contratti[[#This Row],[Corrispettivo Minimo]]+Contratti[[#This Row],[Corrispettivo Extra]]</f>
        <v/>
      </c>
      <c r="K43" s="2" t="n">
        <v>45658</v>
      </c>
      <c r="L43" s="3" t="n">
        <v>24</v>
      </c>
      <c r="M43" s="2">
        <f>IF(Contratti[[#This Row],[Data di attivazione]]=0,"n/a",EDATE(Contratti[[#This Row],[Data di attivazione]],Contratti[[#This Row],[Mesi contratto]])-1)</f>
        <v/>
      </c>
      <c r="N43" s="4">
        <f>IF(Contratti[[#This Row],[Data di scadenza]]="n/a","n/a",EDATE(Contratti[[#This Row],[Data di scadenza]],-6))</f>
        <v/>
      </c>
      <c r="O4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3" t="inlineStr">
        <is>
          <t>RDA Predisposta</t>
        </is>
      </c>
      <c r="Q43" t="n">
        <v>5100004439</v>
      </c>
    </row>
    <row r="44">
      <c r="A44" t="n">
        <v>7300097527</v>
      </c>
      <c r="B44" t="inlineStr">
        <is>
          <t>BO1XQ24FLG</t>
        </is>
      </c>
      <c r="C44" t="n">
        <v>635220</v>
      </c>
      <c r="D44" t="inlineStr">
        <is>
          <t>n/a</t>
        </is>
      </c>
      <c r="E44" t="inlineStr">
        <is>
          <t>Servizio 17</t>
        </is>
      </c>
      <c r="F44" t="inlineStr">
        <is>
          <t>Fornitore 23 S.r.l.</t>
        </is>
      </c>
      <c r="G44">
        <f>IF(VLOOKUP(Contratti[[#This Row],[Fornitore]],Tabella2[],2,FALSE)=0,"n/d",VLOOKUP(Contratti[[#This Row],[Fornitore]],Tabella2[],2,FALSE))</f>
        <v/>
      </c>
      <c r="H44" s="5" t="n">
        <v>12095.8</v>
      </c>
      <c r="I44" s="5" t="n">
        <v>0</v>
      </c>
      <c r="J44" s="5">
        <f>Contratti[[#This Row],[Corrispettivo Minimo]]+Contratti[[#This Row],[Corrispettivo Extra]]</f>
        <v/>
      </c>
      <c r="K44" s="2" t="n">
        <v>45839</v>
      </c>
      <c r="L44" s="3" t="n">
        <v>18</v>
      </c>
      <c r="M44" s="2">
        <f>IF(Contratti[[#This Row],[Data di attivazione]]=0,"n/a",EDATE(Contratti[[#This Row],[Data di attivazione]],Contratti[[#This Row],[Mesi contratto]])-1)</f>
        <v/>
      </c>
      <c r="N44" s="4">
        <f>IF(Contratti[[#This Row],[Data di scadenza]]="n/a","n/a",EDATE(Contratti[[#This Row],[Data di scadenza]],-6))</f>
        <v/>
      </c>
      <c r="O4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4" t="inlineStr">
        <is>
          <t>Attivo</t>
        </is>
      </c>
    </row>
    <row r="45">
      <c r="A45" t="n">
        <v>5800341489</v>
      </c>
      <c r="B45" t="inlineStr">
        <is>
          <t>BQU2Q6ZA2R</t>
        </is>
      </c>
      <c r="C45" t="n">
        <v>627020</v>
      </c>
      <c r="D45" t="inlineStr">
        <is>
          <t>n/a</t>
        </is>
      </c>
      <c r="E45" t="inlineStr">
        <is>
          <t>Servizio di assistenza 15</t>
        </is>
      </c>
      <c r="F45" t="inlineStr">
        <is>
          <t>Fornitore 02 S.r.l.</t>
        </is>
      </c>
      <c r="G45">
        <f>IF(VLOOKUP(Contratti[[#This Row],[Fornitore]],Tabella2[],2,FALSE)=0,"n/d",VLOOKUP(Contratti[[#This Row],[Fornitore]],Tabella2[],2,FALSE))</f>
        <v/>
      </c>
      <c r="H45" s="5" t="n">
        <v>57033.36</v>
      </c>
      <c r="I45" s="5" t="n">
        <v>0</v>
      </c>
      <c r="J45" s="5">
        <f>Contratti[[#This Row],[Corrispettivo Minimo]]+Contratti[[#This Row],[Corrispettivo Extra]]</f>
        <v/>
      </c>
      <c r="K45" s="2" t="n">
        <v>46023</v>
      </c>
      <c r="L45" s="3" t="n">
        <v>12</v>
      </c>
      <c r="M45" s="2">
        <f>IF(Contratti[[#This Row],[Data di attivazione]]=0,"n/a",EDATE(Contratti[[#This Row],[Data di attivazione]],Contratti[[#This Row],[Mesi contratto]])-1)</f>
        <v/>
      </c>
      <c r="N45" s="4">
        <f>IF(Contratti[[#This Row],[Data di scadenza]]="n/a","n/a",EDATE(Contratti[[#This Row],[Data di scadenza]],-6))</f>
        <v/>
      </c>
      <c r="O4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5" t="inlineStr">
        <is>
          <t>Offerta richiesta</t>
        </is>
      </c>
    </row>
    <row r="46">
      <c r="A46" t="n">
        <v>5800845502</v>
      </c>
      <c r="B46" t="inlineStr">
        <is>
          <t>B0FTQZ4E8F</t>
        </is>
      </c>
      <c r="C46" t="n">
        <v>627020</v>
      </c>
      <c r="D46" s="1" t="inlineStr">
        <is>
          <t>n/a</t>
        </is>
      </c>
      <c r="E46" t="inlineStr">
        <is>
          <t>Servizio di assistenza 03</t>
        </is>
      </c>
      <c r="F46" t="inlineStr">
        <is>
          <t>Fornitore 04 S.r.l.</t>
        </is>
      </c>
      <c r="G46">
        <f>IF(VLOOKUP(Contratti[[#This Row],[Fornitore]],Tabella2[],2,FALSE)=0,"n/d",VLOOKUP(Contratti[[#This Row],[Fornitore]],Tabella2[],2,FALSE))</f>
        <v/>
      </c>
      <c r="H46" s="5" t="n">
        <v>5996.09</v>
      </c>
      <c r="I46" s="5" t="n">
        <v>5996.09</v>
      </c>
      <c r="J46" s="5">
        <f>Contratti[[#This Row],[Corrispettivo Minimo]]+Contratti[[#This Row],[Corrispettivo Extra]]</f>
        <v/>
      </c>
      <c r="K46" s="2" t="n">
        <v>46023</v>
      </c>
      <c r="L46" s="3" t="n">
        <v>12</v>
      </c>
      <c r="M46" s="2">
        <f>IF(Contratti[[#This Row],[Data di attivazione]]=0,"n/a",EDATE(Contratti[[#This Row],[Data di attivazione]],Contratti[[#This Row],[Mesi contratto]])-1)</f>
        <v/>
      </c>
      <c r="N46" s="4">
        <f>IF(Contratti[[#This Row],[Data di scadenza]]="n/a","n/a",EDATE(Contratti[[#This Row],[Data di scadenza]],-6))</f>
        <v/>
      </c>
      <c r="O4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6" t="inlineStr">
        <is>
          <t>RDA Predisposta</t>
        </is>
      </c>
      <c r="Q46" t="n">
        <v>5100004636</v>
      </c>
    </row>
    <row r="47">
      <c r="A47" t="n">
        <v>5800331051</v>
      </c>
      <c r="B47" t="inlineStr">
        <is>
          <t>BCMWUON6LK</t>
        </is>
      </c>
      <c r="C47" t="n">
        <v>634935</v>
      </c>
      <c r="D47" s="1" t="inlineStr">
        <is>
          <t>n/a</t>
        </is>
      </c>
      <c r="E47" t="inlineStr">
        <is>
          <t>Licenza software 22</t>
        </is>
      </c>
      <c r="F47" t="inlineStr">
        <is>
          <t>Fornitore 12 S.r.l.</t>
        </is>
      </c>
      <c r="G47">
        <f>IF(VLOOKUP(Contratti[[#This Row],[Fornitore]],Tabella2[],2,FALSE)=0,"n/d",VLOOKUP(Contratti[[#This Row],[Fornitore]],Tabella2[],2,FALSE))</f>
        <v/>
      </c>
      <c r="H47" s="5" t="n">
        <v>1498.27</v>
      </c>
      <c r="I47" s="5" t="n">
        <v>0</v>
      </c>
      <c r="J47" s="5">
        <f>Contratti[[#This Row],[Corrispettivo Minimo]]+Contratti[[#This Row],[Corrispettivo Extra]]</f>
        <v/>
      </c>
      <c r="K47" s="2" t="n">
        <v>46023</v>
      </c>
      <c r="L47" s="3" t="n">
        <v>12</v>
      </c>
      <c r="M47" s="2">
        <f>IF(Contratti[[#This Row],[Data di attivazione]]=0,"n/a",EDATE(Contratti[[#This Row],[Data di attivazione]],Contratti[[#This Row],[Mesi contratto]])-1)</f>
        <v/>
      </c>
      <c r="N47" s="4">
        <f>IF(Contratti[[#This Row],[Data di scadenza]]="n/a","n/a",EDATE(Contratti[[#This Row],[Data di scadenza]],-6))</f>
        <v/>
      </c>
      <c r="O4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7" t="inlineStr">
        <is>
          <t>RDA Predisposta</t>
        </is>
      </c>
      <c r="Q47" t="n">
        <v>5100004814</v>
      </c>
    </row>
    <row r="48">
      <c r="A48" t="n">
        <v>5800999070</v>
      </c>
      <c r="B48" t="inlineStr">
        <is>
          <t>B300V783DB</t>
        </is>
      </c>
      <c r="C48" s="1" t="inlineStr">
        <is>
          <t>634935</t>
        </is>
      </c>
      <c r="D48" s="1" t="n">
        <v>634935</v>
      </c>
      <c r="E48" t="inlineStr">
        <is>
          <t>Servizio TLC 01</t>
        </is>
      </c>
      <c r="F48" t="inlineStr">
        <is>
          <t>Fornitore 24 S.r.l.</t>
        </is>
      </c>
      <c r="G48">
        <f>IF(VLOOKUP(Contratti[[#This Row],[Fornitore]],Tabella2[],2,FALSE)=0,"n/d",VLOOKUP(Contratti[[#This Row],[Fornitore]],Tabella2[],2,FALSE))</f>
        <v/>
      </c>
      <c r="H48" s="5" t="n">
        <v>1145.76</v>
      </c>
      <c r="I48" s="5" t="n">
        <v>0</v>
      </c>
      <c r="J48" s="5">
        <f>Contratti[[#This Row],[Corrispettivo Minimo]]+Contratti[[#This Row],[Corrispettivo Extra]]</f>
        <v/>
      </c>
      <c r="K48" s="2" t="n">
        <v>46067</v>
      </c>
      <c r="L48" s="3" t="n">
        <v>12</v>
      </c>
      <c r="M48" s="2">
        <f>IF(Contratti[[#This Row],[Data di attivazione]]=0,"n/a",EDATE(Contratti[[#This Row],[Data di attivazione]],Contratti[[#This Row],[Mesi contratto]])-1)</f>
        <v/>
      </c>
      <c r="N48" s="4">
        <f>IF(Contratti[[#This Row],[Data di scadenza]]="n/a","n/a",EDATE(Contratti[[#This Row],[Data di scadenza]],-6))</f>
        <v/>
      </c>
      <c r="O4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8" t="inlineStr">
        <is>
          <t>Rinnovato</t>
        </is>
      </c>
    </row>
    <row r="49">
      <c r="A49" t="inlineStr">
        <is>
          <t>﻿5800924960</t>
        </is>
      </c>
      <c r="B49" t="inlineStr">
        <is>
          <t>﻿BJSLVKVU5O</t>
        </is>
      </c>
      <c r="C49" t="n">
        <v>627020</v>
      </c>
      <c r="D49" s="1" t="n">
        <v>634935</v>
      </c>
      <c r="E49" t="inlineStr">
        <is>
          <t>Servizio di assistenza 08</t>
        </is>
      </c>
      <c r="F49" t="inlineStr">
        <is>
          <t>Fornitore 02 S.r.l.</t>
        </is>
      </c>
      <c r="G49">
        <f>IF(VLOOKUP(Contratti[[#This Row],[Fornitore]],Tabella2[],2,FALSE)=0,"n/d",VLOOKUP(Contratti[[#This Row],[Fornitore]],Tabella2[],2,FALSE))</f>
        <v/>
      </c>
      <c r="H49" s="5">
        <f>970.78*2</f>
        <v/>
      </c>
      <c r="I49" s="5" t="n">
        <v>0</v>
      </c>
      <c r="J49" s="5">
        <f>Contratti[[#This Row],[Corrispettivo Minimo]]+Contratti[[#This Row],[Corrispettivo Extra]]</f>
        <v/>
      </c>
      <c r="K49" s="2" t="n">
        <v>46082</v>
      </c>
      <c r="L49" s="3" t="n">
        <v>12</v>
      </c>
      <c r="M49" s="2">
        <f>IF(Contratti[[#This Row],[Data di attivazione]]=0,"n/a",EDATE(Contratti[[#This Row],[Data di attivazione]],Contratti[[#This Row],[Mesi contratto]])-1)</f>
        <v/>
      </c>
      <c r="N49" s="4">
        <f>IF(Contratti[[#This Row],[Data di scadenza]]="n/a","n/a",EDATE(Contratti[[#This Row],[Data di scadenza]],-6))</f>
        <v/>
      </c>
      <c r="O4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9" t="inlineStr">
        <is>
          <t>Offerta richiesta</t>
        </is>
      </c>
    </row>
    <row r="50">
      <c r="A50" t="inlineStr">
        <is>
          <t>﻿5800924960</t>
        </is>
      </c>
      <c r="B50" t="inlineStr">
        <is>
          <t>﻿BJSLVKVU5O</t>
        </is>
      </c>
      <c r="C50" t="n">
        <v>627020</v>
      </c>
      <c r="D50" s="1" t="n">
        <v>634935</v>
      </c>
      <c r="E50" t="inlineStr">
        <is>
          <t>Servizio di assistenza 09</t>
        </is>
      </c>
      <c r="F50" t="inlineStr">
        <is>
          <t>Fornitore 02 S.r.l.</t>
        </is>
      </c>
      <c r="G50">
        <f>IF(VLOOKUP(Contratti[[#This Row],[Fornitore]],Tabella2[],2,FALSE)=0,"n/d",VLOOKUP(Contratti[[#This Row],[Fornitore]],Tabella2[],2,FALSE))</f>
        <v/>
      </c>
      <c r="H50" s="5" t="n">
        <v>5042.84</v>
      </c>
      <c r="I50" s="5" t="n">
        <v>0</v>
      </c>
      <c r="J50" s="5">
        <f>Contratti[[#This Row],[Corrispettivo Minimo]]+Contratti[[#This Row],[Corrispettivo Extra]]</f>
        <v/>
      </c>
      <c r="K50" s="2" t="n">
        <v>46106</v>
      </c>
      <c r="L50" s="3" t="n">
        <v>12</v>
      </c>
      <c r="M50" s="2">
        <f>IF(Contratti[[#This Row],[Data di attivazione]]=0,"n/a",EDATE(Contratti[[#This Row],[Data di attivazione]],Contratti[[#This Row],[Mesi contratto]])-1)</f>
        <v/>
      </c>
      <c r="N50" s="4">
        <f>IF(Contratti[[#This Row],[Data di scadenza]]="n/a","n/a",EDATE(Contratti[[#This Row],[Data di scadenza]],-6))</f>
        <v/>
      </c>
      <c r="O5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0" t="inlineStr">
        <is>
          <t>Offerta richiesta</t>
        </is>
      </c>
    </row>
    <row r="51">
      <c r="A51" t="inlineStr">
        <is>
          <t>n/a</t>
        </is>
      </c>
      <c r="B51" t="inlineStr">
        <is>
          <t>n/a</t>
        </is>
      </c>
      <c r="C51" t="n">
        <v>627020</v>
      </c>
      <c r="D51" s="1" t="inlineStr">
        <is>
          <t>n/a</t>
        </is>
      </c>
      <c r="E51" t="inlineStr">
        <is>
          <t>Servizio di assistenza 16</t>
        </is>
      </c>
      <c r="F51" t="inlineStr">
        <is>
          <t>Fornitore 02 S.r.l.</t>
        </is>
      </c>
      <c r="G51">
        <f>IF(VLOOKUP(Contratti[[#This Row],[Fornitore]],Tabella2[],2,FALSE)=0,"n/d",VLOOKUP(Contratti[[#This Row],[Fornitore]],Tabella2[],2,FALSE))</f>
        <v/>
      </c>
      <c r="H51" s="5" t="n">
        <v>0</v>
      </c>
      <c r="I51" s="5" t="n">
        <v>0</v>
      </c>
      <c r="J51" s="5">
        <f>Contratti[[#This Row],[Corrispettivo Minimo]]+Contratti[[#This Row],[Corrispettivo Extra]]</f>
        <v/>
      </c>
      <c r="K51" s="2" t="n">
        <v>45322</v>
      </c>
      <c r="L51" s="3" t="n">
        <v>38</v>
      </c>
      <c r="M51" s="2">
        <f>IF(Contratti[[#This Row],[Data di attivazione]]=0,"n/a",EDATE(Contratti[[#This Row],[Data di attivazione]],Contratti[[#This Row],[Mesi contratto]])-1)</f>
        <v/>
      </c>
      <c r="N51" s="4">
        <f>IF(Contratti[[#This Row],[Data di scadenza]]="n/a","n/a",EDATE(Contratti[[#This Row],[Data di scadenza]],-6))</f>
        <v/>
      </c>
      <c r="O5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1" t="inlineStr">
        <is>
          <t>Offerta richiesta</t>
        </is>
      </c>
    </row>
    <row r="52">
      <c r="A52" t="inlineStr">
        <is>
          <t>OA1 386/24</t>
        </is>
      </c>
      <c r="B52" t="inlineStr">
        <is>
          <t>B0NK1T38TD</t>
        </is>
      </c>
      <c r="C52" t="n">
        <v>634935</v>
      </c>
      <c r="D52" s="1" t="inlineStr">
        <is>
          <t>n/a</t>
        </is>
      </c>
      <c r="E52" t="inlineStr">
        <is>
          <t>Licenza software 23</t>
        </is>
      </c>
      <c r="F52" t="inlineStr">
        <is>
          <t>Fornitore 02 S.r.l.</t>
        </is>
      </c>
      <c r="G52">
        <f>IF(VLOOKUP(Contratti[[#This Row],[Fornitore]],Tabella2[],2,FALSE)=0,"n/d",VLOOKUP(Contratti[[#This Row],[Fornitore]],Tabella2[],2,FALSE))</f>
        <v/>
      </c>
      <c r="H52" s="5" t="n">
        <v>21825.62</v>
      </c>
      <c r="I52" s="5" t="n">
        <v>0</v>
      </c>
      <c r="J52" s="5">
        <f>Contratti[[#This Row],[Corrispettivo Minimo]]+Contratti[[#This Row],[Corrispettivo Extra]]</f>
        <v/>
      </c>
      <c r="K52" s="2" t="n">
        <v>45388</v>
      </c>
      <c r="L52" s="3" t="n">
        <v>36</v>
      </c>
      <c r="M52" s="2">
        <f>IF(Contratti[[#This Row],[Data di attivazione]]=0,"n/a",EDATE(Contratti[[#This Row],[Data di attivazione]],Contratti[[#This Row],[Mesi contratto]])-1)</f>
        <v/>
      </c>
      <c r="N52" s="4">
        <f>IF(Contratti[[#This Row],[Data di scadenza]]="n/a","n/a",EDATE(Contratti[[#This Row],[Data di scadenza]],-6))</f>
        <v/>
      </c>
      <c r="O5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2" t="inlineStr">
        <is>
          <t>Attivo</t>
        </is>
      </c>
    </row>
    <row r="53">
      <c r="A53" t="n">
        <v>5800852500</v>
      </c>
      <c r="B53" t="inlineStr">
        <is>
          <t>BTGFXH6NF</t>
        </is>
      </c>
      <c r="C53" t="n">
        <v>627020</v>
      </c>
      <c r="D53" s="1" t="n">
        <v>634935</v>
      </c>
      <c r="E53" t="inlineStr">
        <is>
          <t>Servizio di assistenza 10</t>
        </is>
      </c>
      <c r="F53" t="inlineStr">
        <is>
          <t>Fornitore 04 S.r.l.</t>
        </is>
      </c>
      <c r="G53">
        <f>IF(VLOOKUP(Contratti[[#This Row],[Fornitore]],Tabella2[],2,FALSE)=0,"n/d",VLOOKUP(Contratti[[#This Row],[Fornitore]],Tabella2[],2,FALSE))</f>
        <v/>
      </c>
      <c r="H53" s="5" t="n">
        <v>2492.26</v>
      </c>
      <c r="I53" s="5" t="n">
        <v>7989.21</v>
      </c>
      <c r="J53" s="5">
        <f>Contratti[[#This Row],[Corrispettivo Minimo]]+Contratti[[#This Row],[Corrispettivo Extra]]</f>
        <v/>
      </c>
      <c r="K53" s="2" t="n">
        <v>46143</v>
      </c>
      <c r="L53" s="3" t="n">
        <v>12</v>
      </c>
      <c r="M53" s="2">
        <f>IF(Contratti[[#This Row],[Data di attivazione]]=0,"n/a",EDATE(Contratti[[#This Row],[Data di attivazione]],Contratti[[#This Row],[Mesi contratto]])-1)</f>
        <v/>
      </c>
      <c r="N53" s="4">
        <f>IF(Contratti[[#This Row],[Data di scadenza]]="n/a","n/a",EDATE(Contratti[[#This Row],[Data di scadenza]],-6))</f>
        <v/>
      </c>
      <c r="O5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3" t="inlineStr">
        <is>
          <t>Attivo</t>
        </is>
      </c>
    </row>
    <row r="54">
      <c r="A54" t="inlineStr">
        <is>
          <t>OA1 199/24</t>
        </is>
      </c>
      <c r="B54" t="inlineStr">
        <is>
          <t>BK54UI24NO</t>
        </is>
      </c>
      <c r="C54" t="n">
        <v>634935</v>
      </c>
      <c r="D54" s="1" t="inlineStr">
        <is>
          <t>n/a</t>
        </is>
      </c>
      <c r="E54" t="inlineStr">
        <is>
          <t>Licenza software 24</t>
        </is>
      </c>
      <c r="F54" t="inlineStr">
        <is>
          <t>Fornitore 02 S.r.l.</t>
        </is>
      </c>
      <c r="G54">
        <f>IF(VLOOKUP(Contratti[[#This Row],[Fornitore]],Tabella2[],2,FALSE)=0,"n/d",VLOOKUP(Contratti[[#This Row],[Fornitore]],Tabella2[],2,FALSE))</f>
        <v/>
      </c>
      <c r="H54" s="5" t="n">
        <v>17432.87</v>
      </c>
      <c r="I54" s="5" t="n">
        <v>0</v>
      </c>
      <c r="J54" s="5">
        <f>Contratti[[#This Row],[Corrispettivo Minimo]]+Contratti[[#This Row],[Corrispettivo Extra]]</f>
        <v/>
      </c>
      <c r="K54" s="2" t="n">
        <v>45383</v>
      </c>
      <c r="L54" s="3" t="n">
        <v>39</v>
      </c>
      <c r="M54" s="2">
        <f>IF(Contratti[[#This Row],[Data di attivazione]]=0,"n/a",EDATE(Contratti[[#This Row],[Data di attivazione]],Contratti[[#This Row],[Mesi contratto]])-1)</f>
        <v/>
      </c>
      <c r="N54" s="4">
        <f>IF(Contratti[[#This Row],[Data di scadenza]]="n/a","n/a",EDATE(Contratti[[#This Row],[Data di scadenza]],-6))</f>
        <v/>
      </c>
      <c r="O5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4" t="inlineStr">
        <is>
          <t>Attivo</t>
        </is>
      </c>
    </row>
    <row r="55">
      <c r="A55" t="n">
        <v>5800603838</v>
      </c>
      <c r="B55" t="inlineStr">
        <is>
          <t>BE0P4RS8LV</t>
        </is>
      </c>
      <c r="C55" t="n">
        <v>634935</v>
      </c>
      <c r="D55" s="1" t="inlineStr">
        <is>
          <t>n/a</t>
        </is>
      </c>
      <c r="E55" t="inlineStr">
        <is>
          <t>Servizio di assistenza 11</t>
        </is>
      </c>
      <c r="F55" t="inlineStr">
        <is>
          <t>Fornitore 17 S.r.l.</t>
        </is>
      </c>
      <c r="G55">
        <f>IF(VLOOKUP(Contratti[[#This Row],[Fornitore]],Tabella2[],2,FALSE)=0,"n/d",VLOOKUP(Contratti[[#This Row],[Fornitore]],Tabella2[],2,FALSE))</f>
        <v/>
      </c>
      <c r="H55" s="5" t="n">
        <v>23397.9</v>
      </c>
      <c r="I55" s="5" t="n">
        <v>0</v>
      </c>
      <c r="J55" s="5" t="n">
        <v>23397.9</v>
      </c>
      <c r="K55" s="2" t="n">
        <v>46204</v>
      </c>
      <c r="L55" s="3" t="n">
        <v>12</v>
      </c>
      <c r="M55" s="2">
        <f>IF(Contratti[[#This Row],[Data di attivazione]]=0,"n/a",EDATE(Contratti[[#This Row],[Data di attivazione]],Contratti[[#This Row],[Mesi contratto]])-1)</f>
        <v/>
      </c>
      <c r="N55" s="4">
        <f>IF(Contratti[[#This Row],[Data di scadenza]]="n/a","n/a",EDATE(Contratti[[#This Row],[Data di scadenza]],-6))</f>
        <v/>
      </c>
      <c r="O5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5" t="inlineStr">
        <is>
          <t>Attivo</t>
        </is>
      </c>
    </row>
    <row r="56">
      <c r="A56" t="n">
        <v>5800544174</v>
      </c>
      <c r="B56" t="inlineStr">
        <is>
          <t>B2YA7K0VAN</t>
        </is>
      </c>
      <c r="C56" t="n">
        <v>627020</v>
      </c>
      <c r="D56" s="1" t="inlineStr">
        <is>
          <t>N/A</t>
        </is>
      </c>
      <c r="E56" t="inlineStr">
        <is>
          <t>Servizio di assistenza 12</t>
        </is>
      </c>
      <c r="F56" t="inlineStr">
        <is>
          <t>Fornitore 02 S.r.l.</t>
        </is>
      </c>
      <c r="G56">
        <f>IF(VLOOKUP(Contratti[[#This Row],[Fornitore]],Tabella2[],2,FALSE)=0,"n/d",VLOOKUP(Contratti[[#This Row],[Fornitore]],Tabella2[],2,FALSE))</f>
        <v/>
      </c>
      <c r="H56" s="5" t="n">
        <v>5757.83</v>
      </c>
      <c r="I56" s="5" t="n">
        <v>13434.93</v>
      </c>
      <c r="J56" s="5">
        <f>Contratti[[#This Row],[Corrispettivo Minimo]]+Contratti[[#This Row],[Corrispettivo Extra]]</f>
        <v/>
      </c>
      <c r="K56" s="2" t="n">
        <v>46235</v>
      </c>
      <c r="L56" s="3" t="n">
        <v>12</v>
      </c>
      <c r="M56" s="2">
        <f>IF(Contratti[[#This Row],[Data di attivazione]]=0,"n/a",EDATE(Contratti[[#This Row],[Data di attivazione]],Contratti[[#This Row],[Mesi contratto]])-1)</f>
        <v/>
      </c>
      <c r="N56" s="4">
        <f>IF(Contratti[[#This Row],[Data di scadenza]]="n/a","n/a",EDATE(Contratti[[#This Row],[Data di scadenza]],-6))</f>
        <v/>
      </c>
      <c r="O5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6" t="inlineStr">
        <is>
          <t>Attivo</t>
        </is>
      </c>
    </row>
    <row r="57">
      <c r="A57" t="n">
        <v>5800074195</v>
      </c>
      <c r="B57" t="inlineStr">
        <is>
          <t>BQ6XTOCPB5</t>
        </is>
      </c>
      <c r="C57" t="n">
        <v>627020</v>
      </c>
      <c r="D57" s="1" t="inlineStr">
        <is>
          <t>n/a</t>
        </is>
      </c>
      <c r="E57" t="inlineStr">
        <is>
          <t>Servizio di assistenza 13</t>
        </is>
      </c>
      <c r="F57" t="inlineStr">
        <is>
          <t>Fornitore 19 S.r.l.</t>
        </is>
      </c>
      <c r="G57">
        <f>IF(VLOOKUP(Contratti[[#This Row],[Fornitore]],Tabella2[],2,FALSE)=0,"n/d",VLOOKUP(Contratti[[#This Row],[Fornitore]],Tabella2[],2,FALSE))</f>
        <v/>
      </c>
      <c r="H57" s="5" t="n">
        <v>4499.68</v>
      </c>
      <c r="I57" s="5" t="n">
        <v>5821.21</v>
      </c>
      <c r="J57" s="5">
        <f>Contratti[[#This Row],[Corrispettivo Minimo]]+Contratti[[#This Row],[Corrispettivo Extra]]</f>
        <v/>
      </c>
      <c r="K57" s="2" t="n">
        <v>46247</v>
      </c>
      <c r="L57" s="3" t="n">
        <v>12</v>
      </c>
      <c r="M57" s="2">
        <f>IF(Contratti[[#This Row],[Data di attivazione]]=0,"n/a",EDATE(Contratti[[#This Row],[Data di attivazione]],Contratti[[#This Row],[Mesi contratto]])-1)</f>
        <v/>
      </c>
      <c r="N57" s="4">
        <f>IF(Contratti[[#This Row],[Data di scadenza]]="n/a","n/a",EDATE(Contratti[[#This Row],[Data di scadenza]],-6))</f>
        <v/>
      </c>
      <c r="O5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7" t="inlineStr">
        <is>
          <t>Attivo</t>
        </is>
      </c>
    </row>
    <row r="58">
      <c r="A58" t="n">
        <v>5800606593</v>
      </c>
      <c r="B58" t="inlineStr">
        <is>
          <t>BQR6S8DAQX</t>
        </is>
      </c>
      <c r="C58" t="n">
        <v>634935</v>
      </c>
      <c r="D58" s="1" t="inlineStr">
        <is>
          <t>n/a</t>
        </is>
      </c>
      <c r="E58" t="inlineStr">
        <is>
          <t>Licenza software 01</t>
        </is>
      </c>
      <c r="F58" t="inlineStr">
        <is>
          <t>Fornitore 01 S.r.l.</t>
        </is>
      </c>
      <c r="G58">
        <f>IF(VLOOKUP(Contratti[[#This Row],[Fornitore]],Tabella2[],2,FALSE)=0,"n/d",VLOOKUP(Contratti[[#This Row],[Fornitore]],Tabella2[],2,FALSE))</f>
        <v/>
      </c>
      <c r="H58" s="5" t="n">
        <v>3675.24</v>
      </c>
      <c r="I58" s="5" t="n">
        <v>0</v>
      </c>
      <c r="J58" s="5">
        <f>Contratti[[#This Row],[Corrispettivo Minimo]]+Contratti[[#This Row],[Corrispettivo Extra]]</f>
        <v/>
      </c>
      <c r="K58" s="2" t="n">
        <v>46266</v>
      </c>
      <c r="L58" s="3" t="n">
        <v>12</v>
      </c>
      <c r="M58" s="2">
        <f>IF(Contratti[[#This Row],[Data di attivazione]]=0,"n/a",EDATE(Contratti[[#This Row],[Data di attivazione]],Contratti[[#This Row],[Mesi contratto]])-1)</f>
        <v/>
      </c>
      <c r="N58" s="4">
        <f>IF(Contratti[[#This Row],[Data di scadenza]]="n/a","n/a",EDATE(Contratti[[#This Row],[Data di scadenza]],-6))</f>
        <v/>
      </c>
      <c r="O5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8" t="inlineStr">
        <is>
          <t>Attivo</t>
        </is>
      </c>
    </row>
    <row r="59">
      <c r="A59" t="inlineStr">
        <is>
          <t>OA1 308/22</t>
        </is>
      </c>
      <c r="B59" t="inlineStr">
        <is>
          <t>ZO9I2CUFXC</t>
        </is>
      </c>
      <c r="C59" s="1" t="inlineStr">
        <is>
          <t>n/a</t>
        </is>
      </c>
      <c r="D59" s="1" t="inlineStr">
        <is>
          <t>n/a</t>
        </is>
      </c>
      <c r="E59" t="inlineStr">
        <is>
          <t>Licenza software 25</t>
        </is>
      </c>
      <c r="F59" t="inlineStr">
        <is>
          <t>Fornitore 25 S.r.l.</t>
        </is>
      </c>
      <c r="G59">
        <f>IF(VLOOKUP(Contratti[[#This Row],[Fornitore]],Tabella2[],2,FALSE)=0,"n/d",VLOOKUP(Contratti[[#This Row],[Fornitore]],Tabella2[],2,FALSE))</f>
        <v/>
      </c>
      <c r="H59" s="5" t="n">
        <v>3646.13</v>
      </c>
      <c r="I59" s="5" t="n">
        <v>0</v>
      </c>
      <c r="J59" s="5">
        <f>Contratti[[#This Row],[Corrispettivo Minimo]]+Contratti[[#This Row],[Corrispettivo Extra]]</f>
        <v/>
      </c>
      <c r="K59" s="2" t="n">
        <v>44927</v>
      </c>
      <c r="L59" s="3" t="n">
        <v>60</v>
      </c>
      <c r="M59" s="2">
        <f>IF(Contratti[[#This Row],[Data di attivazione]]=0,"n/a",EDATE(Contratti[[#This Row],[Data di attivazione]],Contratti[[#This Row],[Mesi contratto]])-1)</f>
        <v/>
      </c>
      <c r="N59" s="4">
        <f>IF(Contratti[[#This Row],[Data di scadenza]]="n/a","n/a",EDATE(Contratti[[#This Row],[Data di scadenza]],-6))</f>
        <v/>
      </c>
      <c r="O5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9" t="inlineStr">
        <is>
          <t>Non rinnovare</t>
        </is>
      </c>
    </row>
    <row r="60">
      <c r="A60" t="inlineStr">
        <is>
          <t>﻿5800848380</t>
        </is>
      </c>
      <c r="B60" t="inlineStr">
        <is>
          <t>﻿BX1GQR968Y</t>
        </is>
      </c>
      <c r="C60" t="n">
        <v>634935</v>
      </c>
      <c r="D60" t="n">
        <v>634935</v>
      </c>
      <c r="E60" t="inlineStr">
        <is>
          <t>Licenza software 26</t>
        </is>
      </c>
      <c r="F60" t="inlineStr">
        <is>
          <t>Fornitore 21 S.r.l.</t>
        </is>
      </c>
      <c r="G60">
        <f>IF(VLOOKUP(Contratti[[#This Row],[Fornitore]],Tabella2[],2,FALSE)=0,"n/d",VLOOKUP(Contratti[[#This Row],[Fornitore]],Tabella2[],2,FALSE))</f>
        <v/>
      </c>
      <c r="H60" s="5" t="n">
        <v>4561.38</v>
      </c>
      <c r="I60" s="5" t="n">
        <v>0</v>
      </c>
      <c r="J60" s="5">
        <f>Contratti[[#This Row],[Corrispettivo Minimo]]+Contratti[[#This Row],[Corrispettivo Extra]]</f>
        <v/>
      </c>
      <c r="K60" s="2" t="n">
        <v>45970</v>
      </c>
      <c r="L60" s="3" t="n">
        <v>27</v>
      </c>
      <c r="M60" s="2">
        <f>IF(Contratti[[#This Row],[Data di attivazione]]=0,"n/a",EDATE(Contratti[[#This Row],[Data di attivazione]],Contratti[[#This Row],[Mesi contratto]])-1)</f>
        <v/>
      </c>
      <c r="N60" s="4">
        <f>IF(Contratti[[#This Row],[Data di scadenza]]="n/a","n/a",EDATE(Contratti[[#This Row],[Data di scadenza]],-6))</f>
        <v/>
      </c>
      <c r="O6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0" t="inlineStr">
        <is>
          <t>Attivo</t>
        </is>
      </c>
    </row>
    <row r="61">
      <c r="A61" t="n">
        <v>5800392409</v>
      </c>
      <c r="B61" t="inlineStr">
        <is>
          <t>﻿BK3THKFDMM</t>
        </is>
      </c>
      <c r="C61" t="n">
        <v>627021</v>
      </c>
      <c r="D61" s="1" t="inlineStr">
        <is>
          <t>n/a</t>
        </is>
      </c>
      <c r="E61" t="inlineStr">
        <is>
          <t>Servizio di assistenza 17</t>
        </is>
      </c>
      <c r="F61" t="inlineStr">
        <is>
          <t>Fornitore 04 S.r.l.</t>
        </is>
      </c>
      <c r="G61">
        <f>IF(VLOOKUP(Contratti[[#This Row],[Fornitore]],Tabella2[],2,FALSE)=0,"n/d",VLOOKUP(Contratti[[#This Row],[Fornitore]],Tabella2[],2,FALSE))</f>
        <v/>
      </c>
      <c r="H61" s="5" t="n">
        <v>10329.83</v>
      </c>
      <c r="I61" s="5" t="n">
        <v>0</v>
      </c>
      <c r="J61" s="5">
        <f>Contratti[[#This Row],[Corrispettivo Minimo]]+Contratti[[#This Row],[Corrispettivo Extra]]</f>
        <v/>
      </c>
      <c r="K61" s="2" t="n">
        <v>46091</v>
      </c>
      <c r="L61" s="3" t="n">
        <v>24</v>
      </c>
      <c r="M61" s="2">
        <f>IF(Contratti[[#This Row],[Data di attivazione]]=0,"n/a",EDATE(Contratti[[#This Row],[Data di attivazione]],Contratti[[#This Row],[Mesi contratto]])-1)</f>
        <v/>
      </c>
      <c r="N61" s="4">
        <f>IF(Contratti[[#This Row],[Data di scadenza]]="n/a","n/a",EDATE(Contratti[[#This Row],[Data di scadenza]],-6))</f>
        <v/>
      </c>
      <c r="O6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1" t="inlineStr">
        <is>
          <t>Attivo</t>
        </is>
      </c>
    </row>
    <row r="62">
      <c r="A62" t="n">
        <v>5800584701</v>
      </c>
      <c r="B62" t="inlineStr">
        <is>
          <t>B182KGV5Z7</t>
        </is>
      </c>
      <c r="C62" t="n">
        <v>62700</v>
      </c>
      <c r="D62" s="1" t="inlineStr">
        <is>
          <t>N/A</t>
        </is>
      </c>
      <c r="E62" t="inlineStr">
        <is>
          <t>Servizio 14</t>
        </is>
      </c>
      <c r="F62" t="inlineStr">
        <is>
          <t>Fornitore 02 S.r.l.</t>
        </is>
      </c>
      <c r="G62">
        <f>IF(VLOOKUP(Contratti[[#This Row],[Fornitore]],Tabella2[],2,FALSE)=0,"n/d",VLOOKUP(Contratti[[#This Row],[Fornitore]],Tabella2[],2,FALSE))</f>
        <v/>
      </c>
      <c r="H62" s="5" t="n">
        <v>11862.17</v>
      </c>
      <c r="I62" s="5" t="n">
        <v>0</v>
      </c>
      <c r="J62" s="5">
        <f>Contratti[[#This Row],[Corrispettivo Minimo]]+Contratti[[#This Row],[Corrispettivo Extra]]</f>
        <v/>
      </c>
      <c r="K62" s="2" t="n">
        <v>46235</v>
      </c>
      <c r="L62" s="3" t="n">
        <v>24</v>
      </c>
      <c r="M62" s="2">
        <f>IF(Contratti[[#This Row],[Data di attivazione]]=0,"n/a",EDATE(Contratti[[#This Row],[Data di attivazione]],Contratti[[#This Row],[Mesi contratto]])-1)</f>
        <v/>
      </c>
      <c r="N62" s="4">
        <f>IF(Contratti[[#This Row],[Data di scadenza]]="n/a","n/a",EDATE(Contratti[[#This Row],[Data di scadenza]],-6))</f>
        <v/>
      </c>
      <c r="O6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2" t="inlineStr">
        <is>
          <t>Attivo</t>
        </is>
      </c>
    </row>
    <row r="63">
      <c r="A63" t="n">
        <v>580067390</v>
      </c>
      <c r="B63" t="inlineStr">
        <is>
          <t>BHBRUMLMYH</t>
        </is>
      </c>
      <c r="C63" t="n">
        <v>634935</v>
      </c>
      <c r="D63" s="1" t="inlineStr">
        <is>
          <t>N/A</t>
        </is>
      </c>
      <c r="E63" t="inlineStr">
        <is>
          <t>Servizio 22</t>
        </is>
      </c>
      <c r="F63" t="inlineStr">
        <is>
          <t>Fornitore 02 S.r.l.</t>
        </is>
      </c>
      <c r="G63">
        <f>IF(VLOOKUP(Contratti[[#This Row],[Fornitore]],Tabella2[],2,FALSE)=0,"n/d",VLOOKUP(Contratti[[#This Row],[Fornitore]],Tabella2[],2,FALSE))</f>
        <v/>
      </c>
      <c r="H63" s="5" t="n">
        <v>1374.33</v>
      </c>
      <c r="I63" s="5" t="n">
        <v>0</v>
      </c>
      <c r="J63" s="5">
        <f>Contratti[[#This Row],[Corrispettivo Minimo]]+Contratti[[#This Row],[Corrispettivo Extra]]</f>
        <v/>
      </c>
      <c r="K63" s="2" t="n">
        <v>46084</v>
      </c>
      <c r="L63" s="3" t="n">
        <v>36</v>
      </c>
      <c r="M63" s="2">
        <f>IF(Contratti[[#This Row],[Data di attivazione]]=0,"n/a",EDATE(Contratti[[#This Row],[Data di attivazione]],Contratti[[#This Row],[Mesi contratto]])-1)</f>
        <v/>
      </c>
      <c r="N63" s="4">
        <f>IF(Contratti[[#This Row],[Data di scadenza]]="n/a","n/a",EDATE(Contratti[[#This Row],[Data di scadenza]],-6))</f>
        <v/>
      </c>
      <c r="O6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3" t="inlineStr">
        <is>
          <t>Attivo</t>
        </is>
      </c>
    </row>
    <row r="64">
      <c r="A64" t="n">
        <v>5800334258</v>
      </c>
      <c r="B64" t="inlineStr">
        <is>
          <t>BJ6TFF4T90</t>
        </is>
      </c>
      <c r="C64" t="n">
        <v>634935</v>
      </c>
      <c r="D64" s="1" t="inlineStr">
        <is>
          <t>n/a</t>
        </is>
      </c>
      <c r="E64" t="inlineStr">
        <is>
          <t>Licenza software 27</t>
        </is>
      </c>
      <c r="F64" t="inlineStr">
        <is>
          <t>Fornitore 26 S.r.l.</t>
        </is>
      </c>
      <c r="G64">
        <f>IF(VLOOKUP(Contratti[[#This Row],[Fornitore]],Tabella2[],2,FALSE)=0,"n/d",VLOOKUP(Contratti[[#This Row],[Fornitore]],Tabella2[],2,FALSE))</f>
        <v/>
      </c>
      <c r="H64" s="5" t="n">
        <v>13795.26</v>
      </c>
      <c r="I64" s="5" t="n">
        <v>0</v>
      </c>
      <c r="J64" s="5">
        <f>Contratti[[#This Row],[Corrispettivo Minimo]]+Contratti[[#This Row],[Corrispettivo Extra]]</f>
        <v/>
      </c>
      <c r="K64" s="2" t="n">
        <v>46105</v>
      </c>
      <c r="L64" s="3" t="n">
        <v>36</v>
      </c>
      <c r="M64" s="2">
        <f>IF(Contratti[[#This Row],[Data di attivazione]]=0,"n/a",EDATE(Contratti[[#This Row],[Data di attivazione]],Contratti[[#This Row],[Mesi contratto]])-1)</f>
        <v/>
      </c>
      <c r="N64" s="4">
        <f>IF(Contratti[[#This Row],[Data di scadenza]]="n/a","n/a",EDATE(Contratti[[#This Row],[Data di scadenza]],-6))</f>
        <v/>
      </c>
      <c r="O6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4" t="inlineStr">
        <is>
          <t>Attivo</t>
        </is>
      </c>
    </row>
    <row r="65">
      <c r="A65" t="inlineStr">
        <is>
          <t>OA1 489/24</t>
        </is>
      </c>
      <c r="B65" t="inlineStr">
        <is>
          <t>BVM6PPTRYT</t>
        </is>
      </c>
      <c r="C65" t="n">
        <v>634935</v>
      </c>
      <c r="D65" s="1" t="inlineStr">
        <is>
          <t>n/a</t>
        </is>
      </c>
      <c r="E65" t="inlineStr">
        <is>
          <t>Licenza software 28</t>
        </is>
      </c>
      <c r="F65" t="inlineStr">
        <is>
          <t>Fornitore 27 S.r.l.</t>
        </is>
      </c>
      <c r="G65">
        <f>IF(VLOOKUP(Contratti[[#This Row],[Fornitore]],Tabella2[],2,FALSE)=0,"n/d",VLOOKUP(Contratti[[#This Row],[Fornitore]],Tabella2[],2,FALSE))</f>
        <v/>
      </c>
      <c r="H65" s="5" t="n">
        <v>989.59</v>
      </c>
      <c r="I65" s="5" t="n">
        <v>0</v>
      </c>
      <c r="J65" s="5">
        <f>Contratti[[#This Row],[Corrispettivo Minimo]]+Contratti[[#This Row],[Corrispettivo Extra]]</f>
        <v/>
      </c>
      <c r="K65" s="2" t="n">
        <v>45381</v>
      </c>
      <c r="L65" s="3" t="n">
        <v>60</v>
      </c>
      <c r="M65" s="2">
        <f>IF(Contratti[[#This Row],[Data di attivazione]]=0,"n/a",EDATE(Contratti[[#This Row],[Data di attivazione]],Contratti[[#This Row],[Mesi contratto]])-1)</f>
        <v/>
      </c>
      <c r="N65" s="4">
        <f>IF(Contratti[[#This Row],[Data di scadenza]]="n/a","n/a",EDATE(Contratti[[#This Row],[Data di scadenza]],-6))</f>
        <v/>
      </c>
      <c r="O6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5" t="inlineStr">
        <is>
          <t>Attivo</t>
        </is>
      </c>
    </row>
    <row r="66">
      <c r="A66" t="n">
        <v>5800968534</v>
      </c>
      <c r="B66" t="inlineStr">
        <is>
          <t>BBMV7WS3XZ</t>
        </is>
      </c>
      <c r="C66" t="n">
        <v>634935</v>
      </c>
      <c r="D66" s="1" t="inlineStr">
        <is>
          <t>n/a</t>
        </is>
      </c>
      <c r="E66" t="inlineStr">
        <is>
          <t>Licenza software 03</t>
        </is>
      </c>
      <c r="F66" t="inlineStr">
        <is>
          <t>Fornitore 04 S.r.l.</t>
        </is>
      </c>
      <c r="G66">
        <f>IF(VLOOKUP(Contratti[[#This Row],[Fornitore]],Tabella2[],2,FALSE)=0,"n/d",VLOOKUP(Contratti[[#This Row],[Fornitore]],Tabella2[],2,FALSE))</f>
        <v/>
      </c>
      <c r="H66" s="5" t="n">
        <v>5717.95</v>
      </c>
      <c r="I66" s="5" t="n">
        <v>0</v>
      </c>
      <c r="J66" s="5">
        <f>Contratti[[#This Row],[Corrispettivo Minimo]]+Contratti[[#This Row],[Corrispettivo Extra]]</f>
        <v/>
      </c>
      <c r="K66" s="2" t="n">
        <v>46296</v>
      </c>
      <c r="L66" s="3" t="n">
        <v>12</v>
      </c>
      <c r="M66" s="2">
        <f>IF(Contratti[[#This Row],[Data di attivazione]]=0,"n/a",EDATE(Contratti[[#This Row],[Data di attivazione]],Contratti[[#This Row],[Mesi contratto]])-1)</f>
        <v/>
      </c>
      <c r="N66" s="4">
        <f>IF(Contratti[[#This Row],[Data di scadenza]]="n/a","n/a",EDATE(Contratti[[#This Row],[Data di scadenza]],-6))</f>
        <v/>
      </c>
      <c r="O6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6" t="inlineStr">
        <is>
          <t>Attivo</t>
        </is>
      </c>
    </row>
    <row r="67">
      <c r="A67" t="n">
        <v>5800423094</v>
      </c>
      <c r="B67" t="inlineStr">
        <is>
          <t>B0WPKU94DP</t>
        </is>
      </c>
      <c r="C67" t="n">
        <v>634935</v>
      </c>
      <c r="D67" s="1" t="inlineStr">
        <is>
          <t>N/A</t>
        </is>
      </c>
      <c r="E67" t="inlineStr">
        <is>
          <t>Servizio TLC 01</t>
        </is>
      </c>
      <c r="F67" t="inlineStr">
        <is>
          <t>Fornitore 24 S.r.l.</t>
        </is>
      </c>
      <c r="G67">
        <f>IF(VLOOKUP(Contratti[[#This Row],[Fornitore]],Tabella2[],2,FALSE)=0,"n/d",VLOOKUP(Contratti[[#This Row],[Fornitore]],Tabella2[],2,FALSE))</f>
        <v/>
      </c>
      <c r="H67" s="5" t="n">
        <v>1054.88</v>
      </c>
      <c r="I67" s="5" t="n">
        <v>0</v>
      </c>
      <c r="J67" s="5">
        <f>Contratti[[#This Row],[Corrispettivo Minimo]]+Contratti[[#This Row],[Corrispettivo Extra]]</f>
        <v/>
      </c>
      <c r="K67" s="2" t="n">
        <v>46432</v>
      </c>
      <c r="L67" s="3" t="n">
        <v>12</v>
      </c>
      <c r="M67" s="2">
        <f>IF(Contratti[[#This Row],[Data di attivazione]]=0,"n/a",EDATE(Contratti[[#This Row],[Data di attivazione]],Contratti[[#This Row],[Mesi contratto]])-1)</f>
        <v/>
      </c>
      <c r="N67" s="4">
        <f>IF(Contratti[[#This Row],[Data di scadenza]]="n/a","n/a",EDATE(Contratti[[#This Row],[Data di scadenza]],-6))</f>
        <v/>
      </c>
      <c r="O6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7" t="inlineStr">
        <is>
          <t>Attivo</t>
        </is>
      </c>
    </row>
    <row r="68">
      <c r="A68" t="inlineStr">
        <is>
          <t>Totale</t>
        </is>
      </c>
      <c r="H68" s="5">
        <f>SUBTOTAL(109,Contratti[Corrispettivo Minimo])</f>
        <v/>
      </c>
      <c r="I68" s="5" t="n"/>
      <c r="J68" s="5">
        <f>SUBTOTAL(109,Contratti[Corrispettivo Massimo])</f>
        <v/>
      </c>
    </row>
  </sheetData>
  <dataValidations count="1">
    <dataValidation sqref="P2:P68" showDropDown="0" showInputMessage="0" showErrorMessage="0" allowBlank="0" type="list">
      <formula1>=Stati!$A$1:$A$10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1.83203125" customWidth="1" min="1" max="1"/>
    <col width="12.5" customWidth="1" min="2" max="2"/>
    <col width="12.5" customWidth="1" min="3" max="3"/>
    <col width="9.1640625" customWidth="1" min="5" max="5"/>
    <col width="44.83203125" customWidth="1" min="6" max="6"/>
    <col width="28" customWidth="1" min="7" max="7"/>
    <col width="8.5" customWidth="1" min="8" max="8"/>
    <col width="17" customWidth="1" min="9" max="9"/>
    <col width="12.6640625" customWidth="1" min="10" max="10"/>
    <col width="17" customWidth="1" min="11" max="11"/>
    <col width="13.1640625" customWidth="1" min="12" max="12"/>
    <col width="10.6640625" customWidth="1" min="13" max="13"/>
    <col width="8.6640625" customWidth="1" min="14" max="14"/>
    <col width="11.1640625" customWidth="1" min="15" max="15"/>
    <col width="12.5" customWidth="1" min="16" max="16"/>
    <col width="14.6640625" customWidth="1" min="17" max="17"/>
  </cols>
  <sheetData>
    <row r="1">
      <c r="A1" t="inlineStr">
        <is>
          <t>Riepilogo contratti ricorrenti IT</t>
        </is>
      </c>
    </row>
    <row r="2">
      <c r="A2" t="inlineStr">
        <is>
          <t>Ultimo aggiornamento:</t>
        </is>
      </c>
      <c r="E2" s="2" t="n">
        <v>45958</v>
      </c>
    </row>
    <row r="3"/>
    <row r="4">
      <c r="A4" t="inlineStr">
        <is>
          <t>Contratto</t>
        </is>
      </c>
      <c r="B4" t="inlineStr">
        <is>
          <t>Cig</t>
        </is>
      </c>
      <c r="C4" t="inlineStr">
        <is>
          <t>Nuovo codice conto da 01/01/26</t>
        </is>
      </c>
      <c r="D4" t="inlineStr">
        <is>
          <t>Codice WBS</t>
        </is>
      </c>
      <c r="E4" s="1" t="inlineStr">
        <is>
          <t>Codice conto</t>
        </is>
      </c>
      <c r="F4" t="inlineStr">
        <is>
          <t>Descrizione</t>
        </is>
      </c>
      <c r="G4" t="inlineStr">
        <is>
          <t>Fornitore</t>
        </is>
      </c>
      <c r="H4" t="inlineStr">
        <is>
          <t>Codice fornitore</t>
        </is>
      </c>
      <c r="I4" t="inlineStr">
        <is>
          <t>Corrispettivo Minimo</t>
        </is>
      </c>
      <c r="J4" t="inlineStr">
        <is>
          <t>Corrispettivo Extra</t>
        </is>
      </c>
      <c r="K4" t="inlineStr">
        <is>
          <t>Corrispettivo Massimo</t>
        </is>
      </c>
      <c r="L4" s="5" t="inlineStr">
        <is>
          <t>Corrispettivo annuo</t>
        </is>
      </c>
      <c r="M4" s="2" t="inlineStr">
        <is>
          <t>Data di attivazione</t>
        </is>
      </c>
      <c r="N4" s="3" t="inlineStr">
        <is>
          <t>Mesi contratto</t>
        </is>
      </c>
      <c r="O4" s="2" t="inlineStr">
        <is>
          <t>Data di scadenza</t>
        </is>
      </c>
      <c r="P4" s="4" t="inlineStr">
        <is>
          <t>Periodo rinnovo</t>
        </is>
      </c>
      <c r="Q4" t="inlineStr">
        <is>
          <t>Stato</t>
        </is>
      </c>
      <c r="R4" t="inlineStr">
        <is>
          <t>Note</t>
        </is>
      </c>
    </row>
    <row r="5">
      <c r="A5" t="n">
        <v>5800032825</v>
      </c>
      <c r="B5" t="inlineStr">
        <is>
          <t>BQBNW0FQUF</t>
        </is>
      </c>
      <c r="C5" t="n">
        <v>634935</v>
      </c>
      <c r="D5" t="inlineStr">
        <is>
          <t>n/a</t>
        </is>
      </c>
      <c r="E5" s="1" t="inlineStr">
        <is>
          <t>634935</t>
        </is>
      </c>
      <c r="I5" s="5" t="n"/>
      <c r="J5" s="5" t="n"/>
      <c r="K5" s="5">
        <f>Tabella14[[#This Row],[Corrispettivo Minimo]]+Tabella14[[#This Row],[Corrispettivo Extra]]</f>
        <v/>
      </c>
      <c r="L5" s="5">
        <f>(Tabella14[[#This Row],[Corrispettivo Massimo]]/Tabella14[[#This Row],[Mesi contratto]])*12</f>
        <v/>
      </c>
      <c r="M5" s="2" t="n">
        <v>45658</v>
      </c>
      <c r="N5" s="3" t="n">
        <v>12</v>
      </c>
      <c r="O5" s="2">
        <f>IF(Tabella14[[#This Row],[Data di attivazione]]=0,"n/a",EDATE(Tabella14[[#This Row],[Data di attivazione]],Tabella14[[#This Row],[Mesi contratto]])-1)</f>
        <v/>
      </c>
      <c r="P5" s="4">
        <f>IF(Tabella14[[#This Row],[Data di scadenza]]="n/a","n/a",EDATE(Tabella14[[#This Row],[Data di scadenza]],-6))</f>
        <v/>
      </c>
      <c r="Q5" t="inlineStr">
        <is>
          <t>Rinnovato</t>
        </is>
      </c>
    </row>
    <row r="6">
      <c r="A6" t="inlineStr">
        <is>
          <t>Totale</t>
        </is>
      </c>
      <c r="I6" s="5">
        <f>SUBTOTAL(109,Tabella14[Corrispettivo Minimo])</f>
        <v/>
      </c>
      <c r="J6" s="5" t="n"/>
      <c r="K6" s="5">
        <f>SUBTOTAL(109,Tabella14[Corrispettivo Massimo])</f>
        <v/>
      </c>
      <c r="L6" s="5">
        <f>SUBTOTAL(109,Tabella14[Corrispettivo annuo])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Attivo</t>
        </is>
      </c>
    </row>
    <row r="2">
      <c r="A2" t="inlineStr">
        <is>
          <t>RDA Richiesta</t>
        </is>
      </c>
    </row>
    <row r="3">
      <c r="A3" t="inlineStr">
        <is>
          <t>Offerta richiesta</t>
        </is>
      </c>
    </row>
    <row r="4">
      <c r="A4" t="inlineStr">
        <is>
          <t>Offerta ricevuta</t>
        </is>
      </c>
    </row>
    <row r="5">
      <c r="A5" t="inlineStr">
        <is>
          <t>In scadenza</t>
        </is>
      </c>
    </row>
    <row r="6">
      <c r="A6" t="inlineStr">
        <is>
          <t>Da rinnovare</t>
        </is>
      </c>
    </row>
    <row r="7">
      <c r="A7" t="inlineStr">
        <is>
          <t>Non rinnovare</t>
        </is>
      </c>
    </row>
    <row r="8">
      <c r="A8" t="inlineStr">
        <is>
          <t>RDA Predisposta</t>
        </is>
      </c>
    </row>
    <row r="9">
      <c r="A9" t="inlineStr">
        <is>
          <t>Rinnovato</t>
        </is>
      </c>
    </row>
    <row r="10">
      <c r="A10" t="inlineStr">
        <is>
          <t>Scaduto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Codice SAP</t>
        </is>
      </c>
    </row>
    <row r="2">
      <c r="A2" t="inlineStr">
        <is>
          <t>Fornitore 12 S.r.l.</t>
        </is>
      </c>
      <c r="B2" t="inlineStr">
        <is>
          <t>467543</t>
        </is>
      </c>
    </row>
    <row r="3">
      <c r="A3" t="inlineStr">
        <is>
          <t>Fornitore 26 S.r.l.</t>
        </is>
      </c>
    </row>
    <row r="4">
      <c r="A4" t="inlineStr">
        <is>
          <t>Fornitore 03 S.r.l.</t>
        </is>
      </c>
    </row>
    <row r="5">
      <c r="A5" t="inlineStr">
        <is>
          <t>Fornitore 06 S.r.l.</t>
        </is>
      </c>
      <c r="B5" t="inlineStr">
        <is>
          <t>489442</t>
        </is>
      </c>
    </row>
    <row r="6">
      <c r="A6" t="inlineStr">
        <is>
          <t>Fornitore 14 S.r.l.</t>
        </is>
      </c>
      <c r="B6" t="inlineStr">
        <is>
          <t>350121</t>
        </is>
      </c>
    </row>
    <row r="7">
      <c r="A7" t="inlineStr">
        <is>
          <t>Fornitore 16 S.r.l.</t>
        </is>
      </c>
    </row>
    <row r="8">
      <c r="A8" t="inlineStr">
        <is>
          <t>Fornitore 04 S.r.l.</t>
        </is>
      </c>
      <c r="B8" t="inlineStr">
        <is>
          <t>323545</t>
        </is>
      </c>
    </row>
    <row r="9">
      <c r="A9" t="inlineStr">
        <is>
          <t>Fornitore 25 S.r.l.</t>
        </is>
      </c>
    </row>
    <row r="10">
      <c r="A10" t="inlineStr">
        <is>
          <t>Fornitore 28 S.r.l.</t>
        </is>
      </c>
      <c r="B10" t="inlineStr">
        <is>
          <t>350121</t>
        </is>
      </c>
    </row>
    <row r="11">
      <c r="A11" t="inlineStr">
        <is>
          <t>Fornitore 01 S.r.l.</t>
        </is>
      </c>
    </row>
    <row r="12">
      <c r="A12" t="inlineStr">
        <is>
          <t>Fornitore 05 S.r.l.</t>
        </is>
      </c>
    </row>
    <row r="13">
      <c r="A13" t="inlineStr">
        <is>
          <t>Fornitore 23 S.r.l.</t>
        </is>
      </c>
    </row>
    <row r="14">
      <c r="A14" t="inlineStr">
        <is>
          <t>Fornitore 27 S.r.l.</t>
        </is>
      </c>
    </row>
    <row r="15">
      <c r="A15" t="inlineStr">
        <is>
          <t>Fornitore 29 S.r.l.</t>
        </is>
      </c>
      <c r="B15" t="inlineStr">
        <is>
          <t>437903</t>
        </is>
      </c>
    </row>
    <row r="16">
      <c r="A16" t="inlineStr">
        <is>
          <t>Fornitore 13 S.r.l.</t>
        </is>
      </c>
      <c r="B16" t="inlineStr">
        <is>
          <t>350121</t>
        </is>
      </c>
    </row>
    <row r="17">
      <c r="A17" t="inlineStr">
        <is>
          <t>Fornitore 07 S.r.l.</t>
        </is>
      </c>
    </row>
    <row r="18">
      <c r="A18" t="inlineStr">
        <is>
          <t>Fornitore 19 S.r.l.</t>
        </is>
      </c>
    </row>
    <row r="19">
      <c r="A19" t="inlineStr">
        <is>
          <t>Fornitore 18 S.r.l.</t>
        </is>
      </c>
    </row>
    <row r="20">
      <c r="A20" t="inlineStr">
        <is>
          <t>Fornitore 22 S.r.l.</t>
        </is>
      </c>
    </row>
    <row r="21">
      <c r="A21" t="inlineStr">
        <is>
          <t>Fornitore 02 S.r.l.</t>
        </is>
      </c>
      <c r="B21" t="inlineStr">
        <is>
          <t>253422</t>
        </is>
      </c>
    </row>
    <row r="22">
      <c r="A22" t="inlineStr">
        <is>
          <t>Fornitore 10 S.r.l.</t>
        </is>
      </c>
      <c r="B22" t="inlineStr">
        <is>
          <t>350121</t>
        </is>
      </c>
    </row>
    <row r="23">
      <c r="A23" t="inlineStr">
        <is>
          <t>Fornitore 08 S.r.l.</t>
        </is>
      </c>
    </row>
    <row r="24">
      <c r="A24" t="inlineStr">
        <is>
          <t>Fornitore 09 S.r.l.</t>
        </is>
      </c>
    </row>
    <row r="25">
      <c r="A25" t="inlineStr">
        <is>
          <t>Fornitore 20 S.r.l.</t>
        </is>
      </c>
    </row>
    <row r="26">
      <c r="A26" t="inlineStr">
        <is>
          <t>Fornitore 17 S.r.l.</t>
        </is>
      </c>
    </row>
    <row r="27">
      <c r="A27" t="inlineStr">
        <is>
          <t>Fornitore 11 S.r.l.</t>
        </is>
      </c>
    </row>
    <row r="28">
      <c r="A28" t="inlineStr">
        <is>
          <t>Fornitore 21 S.r.l.</t>
        </is>
      </c>
      <c r="B28" t="inlineStr">
        <is>
          <t>837677</t>
        </is>
      </c>
    </row>
    <row r="29">
      <c r="A29" t="inlineStr">
        <is>
          <t>Fornitore 15 S.r.l.</t>
        </is>
      </c>
    </row>
    <row r="30">
      <c r="A30" t="inlineStr">
        <is>
          <t>Fornitore 24 S.r.l.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2026-09-30T19:31:31Z</dcterms:created>
  <dcterms:modified xmlns:dcterms="http://purl.org/dc/terms/" xmlns:xsi="http://www.w3.org/2001/XMLSchema-instance" xsi:type="dcterms:W3CDTF">2026-09-30T19:31:31Z</dcterms:modified>
</cp:coreProperties>
</file>
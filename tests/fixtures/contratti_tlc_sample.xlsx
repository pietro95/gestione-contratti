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ntratti" sheetId="2" state="visible" r:id="rId2"/>
    <sheet xmlns:r="http://schemas.openxmlformats.org/officeDocument/2006/relationships" name="Contratti_Finanziati" sheetId="3" state="visible" r:id="rId3"/>
    <sheet xmlns:r="http://schemas.openxmlformats.org/officeDocument/2006/relationships" name="Stati" sheetId="4" state="visible" r:id="rId4"/>
    <sheet xmlns:r="http://schemas.openxmlformats.org/officeDocument/2006/relationships" name="Fornitor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410]mmmm\-yy;@"/>
    <numFmt numFmtId="165" formatCode="_-* #,##0.00\ &quot;€&quot;_-;\-* #,##0.00\ &quot;€&quot;_-;_-* &quot;-&quot;??\ &quot;€&quot;_-;_-@_-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ella4" displayName="Tabella4" ref="F2:H7" headerRowCount="1">
  <autoFilter ref="F2:H7"/>
  <tableColumns count="3">
    <tableColumn id="6" name="Anno"/>
    <tableColumn id="7" name="Minimo"/>
    <tableColumn id="8" name="Massimo"/>
  </tableColumns>
</table>
</file>

<file path=xl/tables/table2.xml><?xml version="1.0" encoding="utf-8"?>
<table xmlns="http://schemas.openxmlformats.org/spreadsheetml/2006/main" id="2" name="Contratti" displayName="Contratti" ref="A1:Q20" headerRowCount="1" totalsRowCount="1">
  <autoFilter ref="A1:Q20"/>
  <tableColumns count="17">
    <tableColumn id="1" name="Contratto"/>
    <tableColumn id="2" name="Cig"/>
    <tableColumn id="3" name="Codice conto dal 01/01/26"/>
    <tableColumn id="4" name="Codice conto"/>
    <tableColumn id="5" name="Descrizione"/>
    <tableColumn id="6" name="Fornitore"/>
    <tableColumn id="7" name="Codice fornitore"/>
    <tableColumn id="8" name="Corrispettivo Minimo"/>
    <tableColumn id="9" name="Corrispettivo Extra"/>
    <tableColumn id="10" name="Corrispettivo Massimo"/>
    <tableColumn id="11" name="Data di attivazione"/>
    <tableColumn id="12" name="Mesi contratto"/>
    <tableColumn id="13" name="Data di scadenza"/>
    <tableColumn id="14" name="Periodo rinnovo"/>
    <tableColumn id="15" name="Alert"/>
    <tableColumn id="16" name="Stato"/>
    <tableColumn id="17" name="Note"/>
  </tableColumns>
  <tableStyleInfo name="TableStyleMedium2" showRowStripes="1"/>
</table>
</file>

<file path=xl/tables/table3.xml><?xml version="1.0" encoding="utf-8"?>
<table xmlns="http://schemas.openxmlformats.org/spreadsheetml/2006/main" id="3" name="Contratti4" displayName="Contratti4" ref="A1:Q7" headerRowCount="1" totalsRowCount="1">
  <autoFilter ref="A1:Q7"/>
  <tableColumns count="17">
    <tableColumn id="1" name="Contratto"/>
    <tableColumn id="2" name="Cig"/>
    <tableColumn id="3" name="Codice conto dal 01/01/26"/>
    <tableColumn id="4" name="Codice conto"/>
    <tableColumn id="5" name="Descrizione"/>
    <tableColumn id="6" name="Fornitore"/>
    <tableColumn id="7" name="Codice fornitore"/>
    <tableColumn id="8" name="Corrispettivo Minimo"/>
    <tableColumn id="9" name="Corrispettivo Extra"/>
    <tableColumn id="10" name="Corrispettivo Massimo"/>
    <tableColumn id="11" name="Data di attivazione"/>
    <tableColumn id="12" name="Mesi contratto"/>
    <tableColumn id="13" name="Data di scadenza"/>
    <tableColumn id="14" name="Periodo rinnovo"/>
    <tableColumn id="15" name="Alert"/>
    <tableColumn id="16" name="Stato"/>
    <tableColumn id="17" name="Note"/>
  </tableColumns>
  <tableStyleInfo name="TableStyleMedium2" showRowStripes="1"/>
</table>
</file>

<file path=xl/tables/table4.xml><?xml version="1.0" encoding="utf-8"?>
<table xmlns="http://schemas.openxmlformats.org/spreadsheetml/2006/main" id="4" name="Tabella2" displayName="Tabella2" ref="A1:B36" headerRowCount="1">
  <autoFilter ref="A1:B36"/>
  <tableColumns count="2">
    <tableColumn id="1" name="Fornitore"/>
    <tableColumn id="2" name="Codice SAP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Stato contratti TLC</t>
        </is>
      </c>
      <c r="C1" t="inlineStr">
        <is>
          <t>🔴 Scaduti:</t>
        </is>
      </c>
      <c r="D1">
        <f>COUNTIF(Contratti[Alert],"🔴")</f>
        <v/>
      </c>
      <c r="F1" t="inlineStr">
        <is>
          <t>Ipotesi di spesa per singolo anno</t>
        </is>
      </c>
    </row>
    <row r="2">
      <c r="C2" t="inlineStr">
        <is>
          <t xml:space="preserve">🟠 Da rinnovare: </t>
        </is>
      </c>
      <c r="D2">
        <f>COUNTIF(Contratti[Alert],"🟠")</f>
        <v/>
      </c>
      <c r="F2" t="inlineStr">
        <is>
          <t>Anno</t>
        </is>
      </c>
      <c r="G2" t="inlineStr">
        <is>
          <t>Minimo</t>
        </is>
      </c>
      <c r="H2" t="inlineStr">
        <is>
          <t>Massimo</t>
        </is>
      </c>
    </row>
    <row r="3">
      <c r="C3" t="inlineStr">
        <is>
          <t xml:space="preserve">🟡 In avvicinamento:  </t>
        </is>
      </c>
      <c r="D3">
        <f>COUNTIF(Contratti[Alert],"🟡")</f>
        <v/>
      </c>
      <c r="F3" t="n">
        <v>2024</v>
      </c>
      <c r="G3">
        <f>SUM(
   _xlfn.MAP(
      Contratti[Corrispettivo Minimo],
      Contratti[Mesi contratto],
      Contratti[Data di attivazione],
      Contratti[Data di scadenza],
      _xlfn.LAMBDA(_xlpm.minimo,_xlpm.mesi,_xlpm.inizio,_xlpm.fine,
         _xlfn.LET(
            _xlpm.inizioAnno,DATE($F3,1,1),
            _xlpm.fineAnno,DATE($F3,12,31),
            _xlpm.mesiAnno,
               MAX(0,
                  (YEAR(MIN(_xlpm.fine,_xlpm.fineAnno)) -
                   YEAR(MAX(_xlpm.inizio,_xlpm.inizioAnno)))*12 +
                  MONTH(MIN(_xlpm.fine,_xlpm.fineAnno)) -
                  MONTH(MAX(_xlpm.inizio,_xlpm.inizioAnno)) + 1
               ),
            (_xlpm.minimo/_xlpm.mesi) * _xlpm.mesiAnno
         )
      )
   )
)</f>
        <v/>
      </c>
      <c r="H3">
        <f>SUM(
   _xlfn.MAP(
      Contratti[Corrispettivo Massimo],
      Contratti[Mesi contratto],
      Contratti[Data di attivazione],
      Contratti[Data di scadenza],
      _xlfn.LAMBDA(_xlpm.maximo,_xlpm.mesi,_xlpm.inizio,_xlpm.fine,
         _xlfn.LET(
            _xlpm.inizioAnno,DATE($F3,1,1),
            _xlpm.fineAnno,DATE($F3,12,31),
            _xlpm.mesiAnno,
               MAX(0,
                  (YEAR(MIN(_xlpm.fine,_xlpm.fineAnno)) -
                   YEAR(MAX(_xlpm.inizio,_xlpm.inizioAnno)))*12 +
                  MONTH(MIN(_xlpm.fine,_xlpm.fineAnno)) -
                  MONTH(MAX(_xlpm.inizio,_xlpm.inizioAnno)) + 1
               ),
            (_xlpm.maximo/_xlpm.mesi) * _xlpm.mesiAnno
         )
      )
   )
)</f>
        <v/>
      </c>
    </row>
    <row r="4">
      <c r="F4" t="n">
        <v>2025</v>
      </c>
      <c r="G4">
        <f>SUM(
   _xlfn.MAP(
      Contratti[Corrispettivo Minimo],
      Contratti[Mesi contratto],
      Contratti[Data di attivazione],
      Contratti[Data di scadenza],
      _xlfn.LAMBDA(_xlpm.minimo,_xlpm.mesi,_xlpm.inizio,_xlpm.fine,
         _xlfn.LET(
            _xlpm.inizioAnno,DATE($F4,1,1),
            _xlpm.fineAnno,DATE($F4,12,31),
            _xlpm.mesiAnno,
               MAX(0,
                  (YEAR(MIN(_xlpm.fine,_xlpm.fineAnno)) -
                   YEAR(MAX(_xlpm.inizio,_xlpm.inizioAnno)))*12 +
                  MONTH(MIN(_xlpm.fine,_xlpm.fineAnno)) -
                  MONTH(MAX(_xlpm.inizio,_xlpm.inizioAnno)) + 1
               ),
            (_xlpm.minimo/_xlpm.mesi) * _xlpm.mesiAnno
         )
      )
   )
)</f>
        <v/>
      </c>
      <c r="H4">
        <f>SUM(
   _xlfn.MAP(
      Contratti[Corrispettivo Massimo],
      Contratti[Mesi contratto],
      Contratti[Data di attivazione],
      Contratti[Data di scadenza],
      _xlfn.LAMBDA(_xlpm.maximo,_xlpm.mesi,_xlpm.inizio,_xlpm.fine,
         _xlfn.LET(
            _xlpm.inizioAnno,DATE($F4,1,1),
            _xlpm.fineAnno,DATE($F4,12,31),
            _xlpm.mesiAnno,
               MAX(0,
                  (YEAR(MIN(_xlpm.fine,_xlpm.fineAnno)) -
                   YEAR(MAX(_xlpm.inizio,_xlpm.inizioAnno)))*12 +
                  MONTH(MIN(_xlpm.fine,_xlpm.fineAnno)) -
                  MONTH(MAX(_xlpm.inizio,_xlpm.inizioAnno)) + 1
               ),
            (_xlpm.maximo/_xlpm.mesi) * _xlpm.mesiAnno
         )
      )
   )
)</f>
        <v/>
      </c>
    </row>
    <row r="5">
      <c r="A5" t="inlineStr">
        <is>
          <t>(Nel file originale qui c'è una tabella pivot, rimossa nel campione anonimizzato)</t>
        </is>
      </c>
      <c r="F5" t="n">
        <v>2026</v>
      </c>
      <c r="G5">
        <f>SUM(
   _xlfn.MAP(
      Contratti[Corrispettivo Minimo],
      Contratti[Mesi contratto],
      Contratti[Data di attivazione],
      Contratti[Data di scadenza],
      _xlfn.LAMBDA(_xlpm.minimo,_xlpm.mesi,_xlpm.inizio,_xlpm.fine,
         _xlfn.LET(
            _xlpm.inizioAnno,DATE($F5,1,1),
            _xlpm.fineAnno,DATE($F5,12,31),
            _xlpm.mesiAnno,
               MAX(0,
                  (YEAR(MIN(_xlpm.fine,_xlpm.fineAnno)) -
                   YEAR(MAX(_xlpm.inizio,_xlpm.inizioAnno)))*12 +
                  MONTH(MIN(_xlpm.fine,_xlpm.fineAnno)) -
                  MONTH(MAX(_xlpm.inizio,_xlpm.inizioAnno)) + 1
               ),
            (_xlpm.minimo/_xlpm.mesi) * _xlpm.mesiAnno
         )
      )
   )
)</f>
        <v/>
      </c>
      <c r="H5">
        <f>SUM(
   _xlfn.MAP(
      Contratti[Corrispettivo Massimo],
      Contratti[Mesi contratto],
      Contratti[Data di attivazione],
      Contratti[Data di scadenza],
      _xlfn.LAMBDA(_xlpm.maximo,_xlpm.mesi,_xlpm.inizio,_xlpm.fine,
         _xlfn.LET(
            _xlpm.inizioAnno,DATE($F5,1,1),
            _xlpm.fineAnno,DATE($F5,12,31),
            _xlpm.mesiAnno,
               MAX(0,
                  (YEAR(MIN(_xlpm.fine,_xlpm.fineAnno)) -
                   YEAR(MAX(_xlpm.inizio,_xlpm.inizioAnno)))*12 +
                  MONTH(MIN(_xlpm.fine,_xlpm.fineAnno)) -
                  MONTH(MAX(_xlpm.inizio,_xlpm.inizioAnno)) + 1
               ),
            (_xlpm.maximo/_xlpm.mesi) * _xlpm.mesiAnno
         )
      )
   )
)</f>
        <v/>
      </c>
    </row>
    <row r="6">
      <c r="F6" t="n">
        <v>2027</v>
      </c>
      <c r="G6">
        <f>SUM(
   _xlfn.MAP(
      Contratti[Corrispettivo Minimo],
      Contratti[Mesi contratto],
      Contratti[Data di attivazione],
      Contratti[Data di scadenza],
      _xlfn.LAMBDA(_xlpm.minimo,_xlpm.mesi,_xlpm.inizio,_xlpm.fine,
         _xlfn.LET(
            _xlpm.inizioAnno,DATE($F6,1,1),
            _xlpm.fineAnno,DATE($F6,12,31),
            _xlpm.mesiAnno,
               MAX(0,
                  (YEAR(MIN(_xlpm.fine,_xlpm.fineAnno)) -
                   YEAR(MAX(_xlpm.inizio,_xlpm.inizioAnno)))*12 +
                  MONTH(MIN(_xlpm.fine,_xlpm.fineAnno)) -
                  MONTH(MAX(_xlpm.inizio,_xlpm.inizioAnno)) + 1
               ),
            (_xlpm.minimo/_xlpm.mesi) * _xlpm.mesiAnno
         )
      )
   )
)</f>
        <v/>
      </c>
      <c r="H6">
        <f>SUM(
   _xlfn.MAP(
      Contratti[Corrispettivo Massimo],
      Contratti[Mesi contratto],
      Contratti[Data di attivazione],
      Contratti[Data di scadenza],
      _xlfn.LAMBDA(_xlpm.maximo,_xlpm.mesi,_xlpm.inizio,_xlpm.fine,
         _xlfn.LET(
            _xlpm.inizioAnno,DATE($F6,1,1),
            _xlpm.fineAnno,DATE($F6,12,31),
            _xlpm.mesiAnno,
               MAX(0,
                  (YEAR(MIN(_xlpm.fine,_xlpm.fineAnno)) -
                   YEAR(MAX(_xlpm.inizio,_xlpm.inizioAnno)))*12 +
                  MONTH(MIN(_xlpm.fine,_xlpm.fineAnno)) -
                  MONTH(MAX(_xlpm.inizio,_xlpm.inizioAnno)) + 1
               ),
            (_xlpm.maximo/_xlpm.mesi) * _xlpm.mesiAnno
         )
      )
   )
)</f>
        <v/>
      </c>
    </row>
    <row r="7">
      <c r="F7" t="n">
        <v>2028</v>
      </c>
      <c r="G7">
        <f>SUM(
   _xlfn.MAP(
      Contratti[Corrispettivo Minimo],
      Contratti[Mesi contratto],
      Contratti[Data di attivazione],
      Contratti[Data di scadenza],
      _xlfn.LAMBDA(_xlpm.minimo,_xlpm.mesi,_xlpm.inizio,_xlpm.fine,
         _xlfn.LET(
            _xlpm.inizioAnno,DATE($F7,1,1),
            _xlpm.fineAnno,DATE($F7,12,31),
            _xlpm.mesiAnno,
               MAX(0,
                  (YEAR(MIN(_xlpm.fine,_xlpm.fineAnno)) -
                   YEAR(MAX(_xlpm.inizio,_xlpm.inizioAnno)))*12 +
                  MONTH(MIN(_xlpm.fine,_xlpm.fineAnno)) -
                  MONTH(MAX(_xlpm.inizio,_xlpm.inizioAnno)) + 1
               ),
            (_xlpm.minimo/_xlpm.mesi) * _xlpm.mesiAnno
         )
      )
   )
)</f>
        <v/>
      </c>
      <c r="H7">
        <f>SUM(
   _xlfn.MAP(
      Contratti[Corrispettivo Massimo],
      Contratti[Mesi contratto],
      Contratti[Data di attivazione],
      Contratti[Data di scadenza],
      _xlfn.LAMBDA(_xlpm.maximo,_xlpm.mesi,_xlpm.inizio,_xlpm.fine,
         _xlfn.LET(
            _xlpm.inizioAnno,DATE($F7,1,1),
            _xlpm.fineAnno,DATE($F7,12,31),
            _xlpm.mesiAnno,
               MAX(0,
                  (YEAR(MIN(_xlpm.fine,_xlpm.fineAnno)) -
                   YEAR(MAX(_xlpm.inizio,_xlpm.inizioAnno)))*12 +
                  MONTH(MIN(_xlpm.fine,_xlpm.fineAnno)) -
                  MONTH(MAX(_xlpm.inizio,_xlpm.inizioAnno)) + 1
               ),
            (_xlpm.maximo/_xlpm.mesi) * _xlpm.mesiAnno
         )
      )
   )
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11.83203125" customWidth="1" min="1" max="1"/>
    <col width="12.5" customWidth="1" min="2" max="2"/>
    <col width="12.5" customWidth="1" min="3" max="3"/>
    <col width="9.1640625" customWidth="1" min="4" max="4"/>
    <col width="44.83203125" customWidth="1" min="5" max="5"/>
    <col width="28" customWidth="1" min="6" max="6"/>
    <col width="13.33203125" customWidth="1" min="7" max="7"/>
    <col width="17" customWidth="1" min="8" max="8"/>
    <col width="12.6640625" customWidth="1" min="9" max="9"/>
    <col width="17" customWidth="1" min="10" max="10"/>
    <col width="10.6640625" customWidth="1" min="11" max="11"/>
    <col width="8.6640625" customWidth="1" min="12" max="12"/>
    <col width="11.1640625" customWidth="1" min="13" max="13"/>
    <col width="12.5" customWidth="1" min="14" max="14"/>
    <col width="10.1640625" customWidth="1" min="15" max="15"/>
    <col width="14.6640625" customWidth="1" min="16" max="16"/>
    <col width="34.5" customWidth="1" min="17" max="17"/>
  </cols>
  <sheetData>
    <row r="1">
      <c r="A1" t="inlineStr">
        <is>
          <t>Contratto</t>
        </is>
      </c>
      <c r="B1" t="inlineStr">
        <is>
          <t>Cig</t>
        </is>
      </c>
      <c r="C1" t="inlineStr">
        <is>
          <t>Codice conto dal 01/01/26</t>
        </is>
      </c>
      <c r="D1" s="1" t="inlineStr">
        <is>
          <t>Codice conto</t>
        </is>
      </c>
      <c r="E1" t="inlineStr">
        <is>
          <t>Descrizione</t>
        </is>
      </c>
      <c r="F1" t="inlineStr">
        <is>
          <t>Fornitore</t>
        </is>
      </c>
      <c r="G1" t="inlineStr">
        <is>
          <t>Codice fornitore</t>
        </is>
      </c>
      <c r="H1" t="inlineStr">
        <is>
          <t>Corrispettivo Minimo</t>
        </is>
      </c>
      <c r="I1" t="inlineStr">
        <is>
          <t>Corrispettivo Extra</t>
        </is>
      </c>
      <c r="J1" t="inlineStr">
        <is>
          <t>Corrispettivo Massimo</t>
        </is>
      </c>
      <c r="K1" s="2" t="inlineStr">
        <is>
          <t>Data di attivazione</t>
        </is>
      </c>
      <c r="L1" s="3" t="inlineStr">
        <is>
          <t>Mesi contratto</t>
        </is>
      </c>
      <c r="M1" s="2" t="inlineStr">
        <is>
          <t>Data di scadenza</t>
        </is>
      </c>
      <c r="N1" s="4" t="inlineStr">
        <is>
          <t>Periodo rinnovo</t>
        </is>
      </c>
      <c r="O1" s="4" t="inlineStr">
        <is>
          <t>Alert</t>
        </is>
      </c>
      <c r="P1" t="inlineStr">
        <is>
          <t>Stato</t>
        </is>
      </c>
      <c r="Q1" t="inlineStr">
        <is>
          <t>Note</t>
        </is>
      </c>
    </row>
    <row r="2">
      <c r="A2" t="inlineStr">
        <is>
          <t>SI002OA600</t>
        </is>
      </c>
      <c r="B2" t="inlineStr">
        <is>
          <t>BEV70KXWRC</t>
        </is>
      </c>
      <c r="C2" t="n">
        <v>627031</v>
      </c>
      <c r="D2" s="1" t="n">
        <v>627030</v>
      </c>
      <c r="E2" t="inlineStr">
        <is>
          <t>Servizio TLC 02</t>
        </is>
      </c>
      <c r="F2" t="inlineStr">
        <is>
          <t>Fornitore 30 S.r.l.</t>
        </is>
      </c>
      <c r="G2">
        <f>VLOOKUP(Contratti[[#This Row],[Fornitore]],Tabella2[],2,FALSE)</f>
        <v/>
      </c>
      <c r="H2" s="5" t="n">
        <v>17722.68</v>
      </c>
      <c r="I2" s="5" t="n">
        <v>10303.89</v>
      </c>
      <c r="J2" s="5">
        <f>Contratti[[#This Row],[Corrispettivo Minimo]]+Contratti[[#This Row],[Corrispettivo Extra]]</f>
        <v/>
      </c>
      <c r="K2" s="2" t="n">
        <v>45323</v>
      </c>
      <c r="L2" s="3" t="n">
        <v>24</v>
      </c>
      <c r="M2" s="2">
        <f>IF(Contratti[[#This Row],[Data di attivazione]]=0,"n/a",EDATE(Contratti[[#This Row],[Data di attivazione]],Contratti[[#This Row],[Mesi contratto]])-1)</f>
        <v/>
      </c>
      <c r="N2" s="4">
        <f>IF(Contratti[[#This Row],[Data di scadenza]]="n/a","n/a",EDATE(Contratti[[#This Row],[Data di scadenza]],-6))</f>
        <v/>
      </c>
      <c r="O2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2" t="inlineStr">
        <is>
          <t>Rinnovato</t>
        </is>
      </c>
    </row>
    <row r="3">
      <c r="A3" t="inlineStr">
        <is>
          <t>SI007OA820</t>
        </is>
      </c>
      <c r="B3" t="inlineStr">
        <is>
          <t>BUOIFK6D14</t>
        </is>
      </c>
      <c r="C3" t="n">
        <v>627030</v>
      </c>
      <c r="D3" s="1" t="n">
        <v>627030</v>
      </c>
      <c r="E3" t="inlineStr">
        <is>
          <t>Servizio TLC 03</t>
        </is>
      </c>
      <c r="F3" t="inlineStr">
        <is>
          <t>Fornitore 30 S.r.l.</t>
        </is>
      </c>
      <c r="G3">
        <f>VLOOKUP(Contratti[[#This Row],[Fornitore]],Tabella2[],2,FALSE)</f>
        <v/>
      </c>
      <c r="H3" s="5" t="n">
        <v>26048.49</v>
      </c>
      <c r="I3" s="5" t="n">
        <v>8430.389999999999</v>
      </c>
      <c r="J3" s="5">
        <f>Contratti[[#This Row],[Corrispettivo Minimo]]+Contratti[[#This Row],[Corrispettivo Extra]]</f>
        <v/>
      </c>
      <c r="K3" s="2" t="n">
        <v>45323</v>
      </c>
      <c r="L3" s="3" t="n">
        <v>24</v>
      </c>
      <c r="M3" s="2">
        <f>IF(Contratti[[#This Row],[Data di attivazione]]=0,"n/a",EDATE(Contratti[[#This Row],[Data di attivazione]],Contratti[[#This Row],[Mesi contratto]])-1)</f>
        <v/>
      </c>
      <c r="N3" s="4">
        <f>IF(Contratti[[#This Row],[Data di scadenza]]="n/a","n/a",EDATE(Contratti[[#This Row],[Data di scadenza]],-6))</f>
        <v/>
      </c>
      <c r="O3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3" t="inlineStr">
        <is>
          <t>Rinnovato</t>
        </is>
      </c>
    </row>
    <row r="4">
      <c r="A4" t="inlineStr">
        <is>
          <t>SI003OA051</t>
        </is>
      </c>
      <c r="B4" t="inlineStr">
        <is>
          <t>BOBBAJFVNU</t>
        </is>
      </c>
      <c r="C4" t="n">
        <v>627031</v>
      </c>
      <c r="D4" s="1" t="n">
        <v>627031</v>
      </c>
      <c r="E4" t="inlineStr">
        <is>
          <t>Servizio TLC 04</t>
        </is>
      </c>
      <c r="F4" t="inlineStr">
        <is>
          <t>Fornitore 30 S.r.l.</t>
        </is>
      </c>
      <c r="G4">
        <f>VLOOKUP(Contratti[[#This Row],[Fornitore]],Tabella2[],2,FALSE)</f>
        <v/>
      </c>
      <c r="H4" s="5" t="n">
        <v>57842.23</v>
      </c>
      <c r="I4" s="5" t="n">
        <v>0</v>
      </c>
      <c r="J4" s="5">
        <f>Contratti[[#This Row],[Corrispettivo Minimo]]+Contratti[[#This Row],[Corrispettivo Extra]]</f>
        <v/>
      </c>
      <c r="K4" s="2" t="n">
        <v>45383</v>
      </c>
      <c r="L4" s="3" t="n">
        <v>24</v>
      </c>
      <c r="M4" s="2">
        <f>IF(Contratti[[#This Row],[Data di attivazione]]=0,"n/a",EDATE(Contratti[[#This Row],[Data di attivazione]],Contratti[[#This Row],[Mesi contratto]])-1)</f>
        <v/>
      </c>
      <c r="N4" s="4">
        <f>IF(Contratti[[#This Row],[Data di scadenza]]="n/a","n/a",EDATE(Contratti[[#This Row],[Data di scadenza]],-6))</f>
        <v/>
      </c>
      <c r="O4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4" t="inlineStr">
        <is>
          <t>Rinnovato</t>
        </is>
      </c>
    </row>
    <row r="5">
      <c r="A5" t="inlineStr">
        <is>
          <t>OA1 387/24</t>
        </is>
      </c>
      <c r="B5" t="inlineStr">
        <is>
          <t>BBD4ILJ1E6</t>
        </is>
      </c>
      <c r="D5" s="1" t="n">
        <v>627031</v>
      </c>
      <c r="E5" t="inlineStr">
        <is>
          <t>Servizio TLC 05</t>
        </is>
      </c>
      <c r="F5" t="inlineStr">
        <is>
          <t>Fornitore 31 S.r.l.</t>
        </is>
      </c>
      <c r="G5">
        <f>VLOOKUP(Contratti[[#This Row],[Fornitore]],Tabella2[],2,FALSE)</f>
        <v/>
      </c>
      <c r="H5" s="5" t="n">
        <v>1213.47</v>
      </c>
      <c r="I5" s="5" t="n"/>
      <c r="J5" s="5">
        <f>Contratti[[#This Row],[Corrispettivo Minimo]]+Contratti[[#This Row],[Corrispettivo Extra]]</f>
        <v/>
      </c>
      <c r="K5" s="2" t="n">
        <v>45383</v>
      </c>
      <c r="L5" s="3" t="n">
        <v>24</v>
      </c>
      <c r="M5" s="2">
        <f>IF(Contratti[[#This Row],[Data di attivazione]]=0,"n/a",EDATE(Contratti[[#This Row],[Data di attivazione]],Contratti[[#This Row],[Mesi contratto]])-1)</f>
        <v/>
      </c>
      <c r="N5" s="4">
        <f>IF(Contratti[[#This Row],[Data di scadenza]]="n/a","n/a",EDATE(Contratti[[#This Row],[Data di scadenza]],-6))</f>
        <v/>
      </c>
      <c r="O5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5" t="inlineStr">
        <is>
          <t>Non rinnovare</t>
        </is>
      </c>
    </row>
    <row r="6">
      <c r="A6" t="inlineStr">
        <is>
          <t>SI00OA5353</t>
        </is>
      </c>
      <c r="B6" t="inlineStr">
        <is>
          <t>ZR59M9NP2I</t>
        </is>
      </c>
      <c r="C6" t="n">
        <v>627029</v>
      </c>
      <c r="D6" s="1" t="n">
        <v>627029</v>
      </c>
      <c r="E6" t="inlineStr">
        <is>
          <t>Servizio TLC 06</t>
        </is>
      </c>
      <c r="F6" t="inlineStr">
        <is>
          <t>Fornitore 10 S.r.l.</t>
        </is>
      </c>
      <c r="G6">
        <f>VLOOKUP(Contratti[[#This Row],[Fornitore]],Tabella2[],2,FALSE)</f>
        <v/>
      </c>
      <c r="H6" s="5" t="n">
        <v>4680.26</v>
      </c>
      <c r="I6" s="5" t="n">
        <v>0</v>
      </c>
      <c r="J6" s="5">
        <f>Contratti[[#This Row],[Corrispettivo Minimo]]+Contratti[[#This Row],[Corrispettivo Extra]]</f>
        <v/>
      </c>
      <c r="K6" s="2" t="n">
        <v>45231</v>
      </c>
      <c r="L6" s="3" t="n">
        <v>30</v>
      </c>
      <c r="M6" s="2">
        <f>IF(Contratti[[#This Row],[Data di attivazione]]=0,"n/a",EDATE(Contratti[[#This Row],[Data di attivazione]],Contratti[[#This Row],[Mesi contratto]])-1)</f>
        <v/>
      </c>
      <c r="N6" s="4">
        <f>IF(Contratti[[#This Row],[Data di scadenza]]="n/a","n/a",EDATE(Contratti[[#This Row],[Data di scadenza]],-6))</f>
        <v/>
      </c>
      <c r="O6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6" t="inlineStr">
        <is>
          <t>Rinnovato</t>
        </is>
      </c>
    </row>
    <row r="7">
      <c r="A7" t="inlineStr">
        <is>
          <t>OA1 243/22</t>
        </is>
      </c>
      <c r="B7" t="inlineStr">
        <is>
          <t>Z5ZGGZKRSH</t>
        </is>
      </c>
      <c r="C7" t="n">
        <v>627031</v>
      </c>
      <c r="D7" s="1" t="n">
        <v>627031</v>
      </c>
      <c r="E7" t="inlineStr">
        <is>
          <t>Servizio TLC 07</t>
        </is>
      </c>
      <c r="F7" t="inlineStr">
        <is>
          <t>Fornitore 31 S.r.l.</t>
        </is>
      </c>
      <c r="G7">
        <f>VLOOKUP(Contratti[[#This Row],[Fornitore]],Tabella2[],2,FALSE)</f>
        <v/>
      </c>
      <c r="H7" s="5" t="n">
        <v>0</v>
      </c>
      <c r="I7" s="5" t="n">
        <v>0</v>
      </c>
      <c r="J7" s="5">
        <f>Contratti[[#This Row],[Corrispettivo Minimo]]+Contratti[[#This Row],[Corrispettivo Extra]]</f>
        <v/>
      </c>
      <c r="K7" s="2" t="n">
        <v>44927</v>
      </c>
      <c r="L7" s="3" t="n">
        <v>42</v>
      </c>
      <c r="M7" s="2">
        <f>IF(Contratti[[#This Row],[Data di attivazione]]=0,"n/a",EDATE(Contratti[[#This Row],[Data di attivazione]],Contratti[[#This Row],[Mesi contratto]])-1)</f>
        <v/>
      </c>
      <c r="N7" s="4">
        <f>IF(Contratti[[#This Row],[Data di scadenza]]="n/a","n/a",EDATE(Contratti[[#This Row],[Data di scadenza]],-6))</f>
        <v/>
      </c>
      <c r="O7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7" t="inlineStr">
        <is>
          <t>Non rinnovare</t>
        </is>
      </c>
    </row>
    <row r="8">
      <c r="A8" t="inlineStr">
        <is>
          <t>SI003C2806</t>
        </is>
      </c>
      <c r="B8" t="inlineStr">
        <is>
          <t>ZKLIKXWDTY</t>
        </is>
      </c>
      <c r="C8" t="n">
        <v>634935</v>
      </c>
      <c r="D8" s="1" t="n">
        <v>634935</v>
      </c>
      <c r="E8" t="inlineStr">
        <is>
          <t>Servizio TLC 08</t>
        </is>
      </c>
      <c r="F8" t="inlineStr">
        <is>
          <t>Fornitore 10 S.r.l.</t>
        </is>
      </c>
      <c r="G8">
        <f>VLOOKUP(Contratti[[#This Row],[Fornitore]],Tabella2[],2,FALSE)</f>
        <v/>
      </c>
      <c r="H8" s="5" t="n">
        <v>10614.71</v>
      </c>
      <c r="I8" s="5" t="n">
        <v>0</v>
      </c>
      <c r="J8" s="5">
        <f>Contratti[[#This Row],[Corrispettivo Minimo]]+Contratti[[#This Row],[Corrispettivo Extra]]</f>
        <v/>
      </c>
      <c r="K8" s="2" t="n">
        <v>44927</v>
      </c>
      <c r="L8" s="3" t="n">
        <v>42</v>
      </c>
      <c r="M8" s="2">
        <f>IF(Contratti[[#This Row],[Data di attivazione]]=0,"n/a",EDATE(Contratti[[#This Row],[Data di attivazione]],Contratti[[#This Row],[Mesi contratto]])-1)</f>
        <v/>
      </c>
      <c r="N8" s="4">
        <f>IF(Contratti[[#This Row],[Data di scadenza]]="n/a","n/a",EDATE(Contratti[[#This Row],[Data di scadenza]],-6))</f>
        <v/>
      </c>
      <c r="O8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8" t="inlineStr">
        <is>
          <t>Rinnovato</t>
        </is>
      </c>
    </row>
    <row r="9">
      <c r="A9" t="inlineStr">
        <is>
          <t>SI24OA4049</t>
        </is>
      </c>
      <c r="B9" t="inlineStr">
        <is>
          <t>B5T8L7P6FC</t>
        </is>
      </c>
      <c r="C9" t="n">
        <v>627030</v>
      </c>
      <c r="D9" s="1" t="n">
        <v>627030</v>
      </c>
      <c r="E9" t="inlineStr">
        <is>
          <t>Servizio TLC 09</t>
        </is>
      </c>
      <c r="F9" t="inlineStr">
        <is>
          <t>Fornitore 30 S.r.l.</t>
        </is>
      </c>
      <c r="G9">
        <f>VLOOKUP(Contratti[[#This Row],[Fornitore]],Tabella2[],2,FALSE)</f>
        <v/>
      </c>
      <c r="H9" s="5" t="n">
        <v>1089.96</v>
      </c>
      <c r="I9" s="5" t="n">
        <v>2212.94</v>
      </c>
      <c r="J9" s="5">
        <f>Contratti[[#This Row],[Corrispettivo Minimo]]+Contratti[[#This Row],[Corrispettivo Extra]]</f>
        <v/>
      </c>
      <c r="K9" s="2" t="n">
        <v>45566</v>
      </c>
      <c r="L9" s="3" t="n">
        <v>24</v>
      </c>
      <c r="M9" s="2">
        <f>IF(Contratti[[#This Row],[Data di attivazione]]=0,"n/a",EDATE(Contratti[[#This Row],[Data di attivazione]],Contratti[[#This Row],[Mesi contratto]])-1)</f>
        <v/>
      </c>
      <c r="N9" s="4">
        <f>IF(Contratti[[#This Row],[Data di scadenza]]="n/a","n/a",EDATE(Contratti[[#This Row],[Data di scadenza]],-6))</f>
        <v/>
      </c>
      <c r="O9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9" t="inlineStr">
        <is>
          <t>Non rinnovare</t>
        </is>
      </c>
    </row>
    <row r="10">
      <c r="A10" t="inlineStr">
        <is>
          <t>SI00OA8457</t>
        </is>
      </c>
      <c r="B10" t="inlineStr">
        <is>
          <t>B10LDP5C4Q</t>
        </is>
      </c>
      <c r="C10" t="n">
        <v>627031</v>
      </c>
      <c r="D10" s="1" t="n">
        <v>627031</v>
      </c>
      <c r="E10" t="inlineStr">
        <is>
          <t>Servizio TLC 10</t>
        </is>
      </c>
      <c r="F10" t="inlineStr">
        <is>
          <t>Fornitore 30 S.r.l.</t>
        </is>
      </c>
      <c r="G10">
        <f>VLOOKUP(Contratti[[#This Row],[Fornitore]],Tabella2[],2,FALSE)</f>
        <v/>
      </c>
      <c r="H10" s="5" t="n">
        <v>16792.41</v>
      </c>
      <c r="I10" s="5" t="n">
        <v>15144.46</v>
      </c>
      <c r="J10" s="5">
        <f>Contratti[[#This Row],[Corrispettivo Minimo]]+Contratti[[#This Row],[Corrispettivo Extra]]</f>
        <v/>
      </c>
      <c r="K10" s="2" t="n">
        <v>45627</v>
      </c>
      <c r="L10" s="3" t="n">
        <v>24</v>
      </c>
      <c r="M10" s="2">
        <f>IF(Contratti[[#This Row],[Data di attivazione]]=0,"n/a",EDATE(Contratti[[#This Row],[Data di attivazione]],Contratti[[#This Row],[Mesi contratto]])-1)</f>
        <v/>
      </c>
      <c r="N10" s="4">
        <f>IF(Contratti[[#This Row],[Data di scadenza]]="n/a","n/a",EDATE(Contratti[[#This Row],[Data di scadenza]],-6))</f>
        <v/>
      </c>
      <c r="O10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10" t="inlineStr">
        <is>
          <t>Non rinnovare</t>
        </is>
      </c>
    </row>
    <row r="11">
      <c r="A11" t="inlineStr">
        <is>
          <t>SI00OA4886</t>
        </is>
      </c>
      <c r="B11" t="inlineStr">
        <is>
          <t>BLTDH83NF7</t>
        </is>
      </c>
      <c r="C11" t="n">
        <v>627031</v>
      </c>
      <c r="D11" s="1" t="n">
        <v>627031</v>
      </c>
      <c r="E11" t="inlineStr">
        <is>
          <t>Servizio TLC 07</t>
        </is>
      </c>
      <c r="F11" t="inlineStr">
        <is>
          <t>Fornitore 32 S.r.l.</t>
        </is>
      </c>
      <c r="G11">
        <f>VLOOKUP(Contratti[[#This Row],[Fornitore]],Tabella2[],2,FALSE)</f>
        <v/>
      </c>
      <c r="H11" s="5" t="n">
        <v>34332.44</v>
      </c>
      <c r="I11" s="5" t="n">
        <v>13807.23</v>
      </c>
      <c r="J11" s="5">
        <f>Contratti[[#This Row],[Corrispettivo Minimo]]+Contratti[[#This Row],[Corrispettivo Extra]]</f>
        <v/>
      </c>
      <c r="K11" s="2" t="n">
        <v>45658</v>
      </c>
      <c r="L11" s="3" t="n">
        <v>24</v>
      </c>
      <c r="M11" s="2">
        <f>IF(Contratti[[#This Row],[Data di attivazione]]=0,"n/a",EDATE(Contratti[[#This Row],[Data di attivazione]],Contratti[[#This Row],[Mesi contratto]])-1)</f>
        <v/>
      </c>
      <c r="N11" s="4">
        <f>IF(Contratti[[#This Row],[Data di scadenza]]="n/a","n/a",EDATE(Contratti[[#This Row],[Data di scadenza]],-6))</f>
        <v/>
      </c>
      <c r="O11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11" t="inlineStr">
        <is>
          <t>Non rinnovare</t>
        </is>
      </c>
    </row>
    <row r="12">
      <c r="A12" t="inlineStr">
        <is>
          <t>SI00OA4505</t>
        </is>
      </c>
      <c r="B12" t="inlineStr">
        <is>
          <t>BW58AT1YTH</t>
        </is>
      </c>
      <c r="C12" t="n">
        <v>627031</v>
      </c>
      <c r="D12" s="1" t="n">
        <v>627031</v>
      </c>
      <c r="E12" t="inlineStr">
        <is>
          <t>Servizio TLC 11</t>
        </is>
      </c>
      <c r="F12" t="inlineStr">
        <is>
          <t>Fornitore 30 S.r.l.</t>
        </is>
      </c>
      <c r="G12">
        <f>VLOOKUP(Contratti[[#This Row],[Fornitore]],Tabella2[],2,FALSE)</f>
        <v/>
      </c>
      <c r="H12" s="5" t="n">
        <v>25730.38</v>
      </c>
      <c r="I12" s="5" t="n">
        <v>0</v>
      </c>
      <c r="J12" s="5">
        <f>Contratti[[#This Row],[Corrispettivo Minimo]]+Contratti[[#This Row],[Corrispettivo Extra]]</f>
        <v/>
      </c>
      <c r="K12" s="2" t="n">
        <v>45658</v>
      </c>
      <c r="L12" s="3" t="n">
        <v>24</v>
      </c>
      <c r="M12" s="2">
        <f>IF(Contratti[[#This Row],[Data di attivazione]]=0,"n/a",EDATE(Contratti[[#This Row],[Data di attivazione]],Contratti[[#This Row],[Mesi contratto]])-1)</f>
        <v/>
      </c>
      <c r="N12" s="4">
        <f>IF(Contratti[[#This Row],[Data di scadenza]]="n/a","n/a",EDATE(Contratti[[#This Row],[Data di scadenza]],-6))</f>
        <v/>
      </c>
      <c r="O12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12" t="inlineStr">
        <is>
          <t>Attivo</t>
        </is>
      </c>
    </row>
    <row r="13">
      <c r="A13" t="inlineStr">
        <is>
          <t>OA1 391/24</t>
        </is>
      </c>
      <c r="B13" t="inlineStr">
        <is>
          <t>B6OOY6UIJU</t>
        </is>
      </c>
      <c r="C13" t="n">
        <v>627029</v>
      </c>
      <c r="D13" s="1" t="n">
        <v>627029</v>
      </c>
      <c r="E13" t="inlineStr">
        <is>
          <t>Servizio TLC 12</t>
        </is>
      </c>
      <c r="F13" t="inlineStr">
        <is>
          <t>Fornitore 33 S.r.l.</t>
        </is>
      </c>
      <c r="G13">
        <f>VLOOKUP(Contratti[[#This Row],[Fornitore]],Tabella2[],2,FALSE)</f>
        <v/>
      </c>
      <c r="H13" s="5" t="n">
        <v>2761.99</v>
      </c>
      <c r="I13" s="5" t="n">
        <v>0</v>
      </c>
      <c r="J13" s="5">
        <f>Contratti[[#This Row],[Corrispettivo Minimo]]+Contratti[[#This Row],[Corrispettivo Extra]]</f>
        <v/>
      </c>
      <c r="K13" s="2" t="n">
        <v>45689</v>
      </c>
      <c r="L13" s="3" t="n">
        <v>24</v>
      </c>
      <c r="M13" s="2">
        <f>IF(Contratti[[#This Row],[Data di attivazione]]=0,"n/a",EDATE(Contratti[[#This Row],[Data di attivazione]],Contratti[[#This Row],[Mesi contratto]])-1)</f>
        <v/>
      </c>
      <c r="N13" s="4">
        <f>IF(Contratti[[#This Row],[Data di scadenza]]="n/a","n/a",EDATE(Contratti[[#This Row],[Data di scadenza]],-6))</f>
        <v/>
      </c>
      <c r="O13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13" t="inlineStr">
        <is>
          <t>Attivo</t>
        </is>
      </c>
    </row>
    <row r="14">
      <c r="A14" t="inlineStr">
        <is>
          <t>OA1 52/25</t>
        </is>
      </c>
      <c r="B14" t="inlineStr">
        <is>
          <t>BFVKJV7S1M</t>
        </is>
      </c>
      <c r="C14" t="n">
        <v>627029</v>
      </c>
      <c r="D14" s="1" t="n">
        <v>627029</v>
      </c>
      <c r="E14" t="inlineStr">
        <is>
          <t>Servizio TLC 13</t>
        </is>
      </c>
      <c r="F14" t="inlineStr">
        <is>
          <t>Fornitore 34 S.r.l.</t>
        </is>
      </c>
      <c r="G14">
        <f>VLOOKUP(Contratti[[#This Row],[Fornitore]],Tabella2[],2,FALSE)</f>
        <v/>
      </c>
      <c r="H14" s="5" t="n">
        <v>1016.13</v>
      </c>
      <c r="I14" s="5" t="n">
        <v>2646.51</v>
      </c>
      <c r="J14" s="5">
        <f>Contratti[[#This Row],[Corrispettivo Minimo]]+Contratti[[#This Row],[Corrispettivo Extra]]</f>
        <v/>
      </c>
      <c r="K14" s="2" t="n">
        <v>45780</v>
      </c>
      <c r="L14" s="3" t="n">
        <v>24</v>
      </c>
      <c r="M14" s="2">
        <f>IF(Contratti[[#This Row],[Data di attivazione]]=0,"n/a",EDATE(Contratti[[#This Row],[Data di attivazione]],Contratti[[#This Row],[Mesi contratto]])-1)</f>
        <v/>
      </c>
      <c r="N14" s="4">
        <f>IF(Contratti[[#This Row],[Data di scadenza]]="n/a","n/a",EDATE(Contratti[[#This Row],[Data di scadenza]],-6))</f>
        <v/>
      </c>
      <c r="O14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14" t="inlineStr">
        <is>
          <t>Attivo</t>
        </is>
      </c>
    </row>
    <row r="15">
      <c r="A15" t="inlineStr">
        <is>
          <t>SI00OA3691</t>
        </is>
      </c>
      <c r="B15" t="inlineStr">
        <is>
          <t>BZA539RZ5J</t>
        </is>
      </c>
      <c r="C15" t="n">
        <v>627031</v>
      </c>
      <c r="D15" s="1" t="n">
        <v>627031</v>
      </c>
      <c r="E15" t="inlineStr">
        <is>
          <t>Servizio TLC 14</t>
        </is>
      </c>
      <c r="F15" t="inlineStr">
        <is>
          <t>Fornitore 32 S.r.l.</t>
        </is>
      </c>
      <c r="G15">
        <f>VLOOKUP(Contratti[[#This Row],[Fornitore]],Tabella2[],2,FALSE)</f>
        <v/>
      </c>
      <c r="H15" s="5" t="n">
        <v>31562.49</v>
      </c>
      <c r="I15" s="5" t="n">
        <v>0</v>
      </c>
      <c r="J15" s="5">
        <f>Contratti[[#This Row],[Corrispettivo Minimo]]+Contratti[[#This Row],[Corrispettivo Extra]]</f>
        <v/>
      </c>
      <c r="K15" s="2" t="n">
        <v>45658</v>
      </c>
      <c r="L15" s="3" t="n">
        <v>30</v>
      </c>
      <c r="M15" s="2">
        <f>IF(Contratti[[#This Row],[Data di attivazione]]=0,"n/a",EDATE(Contratti[[#This Row],[Data di attivazione]],Contratti[[#This Row],[Mesi contratto]])-1)</f>
        <v/>
      </c>
      <c r="N15" s="4">
        <f>IF(Contratti[[#This Row],[Data di scadenza]]="n/a","n/a",EDATE(Contratti[[#This Row],[Data di scadenza]],-6))</f>
        <v/>
      </c>
      <c r="O15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15" t="inlineStr">
        <is>
          <t>Attivo</t>
        </is>
      </c>
    </row>
    <row r="16">
      <c r="A16" t="inlineStr">
        <is>
          <t>SI00OA4750</t>
        </is>
      </c>
      <c r="B16" t="inlineStr">
        <is>
          <t>BTPN8DF010</t>
        </is>
      </c>
      <c r="C16" t="n">
        <v>627031</v>
      </c>
      <c r="D16" s="1" t="n">
        <v>627031</v>
      </c>
      <c r="E16" t="inlineStr">
        <is>
          <t>Servizio TLC 15</t>
        </is>
      </c>
      <c r="F16" t="inlineStr">
        <is>
          <t>Fornitore 35 S.r.l.</t>
        </is>
      </c>
      <c r="G16">
        <f>VLOOKUP(Contratti[[#This Row],[Fornitore]],Tabella2[],2,FALSE)</f>
        <v/>
      </c>
      <c r="H16" s="5" t="n">
        <v>23247.49</v>
      </c>
      <c r="I16" s="5" t="n">
        <v>0</v>
      </c>
      <c r="J16" s="5">
        <f>Contratti[[#This Row],[Corrispettivo Minimo]]+Contratti[[#This Row],[Corrispettivo Extra]]</f>
        <v/>
      </c>
      <c r="K16" s="2" t="n">
        <v>45809</v>
      </c>
      <c r="L16" s="3" t="n">
        <v>36</v>
      </c>
      <c r="M16" s="2">
        <f>IF(Contratti[[#This Row],[Data di attivazione]]=0,"n/a",EDATE(Contratti[[#This Row],[Data di attivazione]],Contratti[[#This Row],[Mesi contratto]])-1)</f>
        <v/>
      </c>
      <c r="N16" s="4">
        <f>IF(Contratti[[#This Row],[Data di scadenza]]="n/a","n/a",EDATE(Contratti[[#This Row],[Data di scadenza]],-6))</f>
        <v/>
      </c>
      <c r="O16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16" t="inlineStr">
        <is>
          <t>Attivo</t>
        </is>
      </c>
    </row>
    <row r="17">
      <c r="A17" t="n">
        <v>5800346363</v>
      </c>
      <c r="B17" t="inlineStr">
        <is>
          <t>B8O60JUMK3</t>
        </is>
      </c>
      <c r="C17" t="n">
        <v>627029</v>
      </c>
      <c r="D17" s="1" t="inlineStr">
        <is>
          <t>n/a</t>
        </is>
      </c>
      <c r="E17" t="inlineStr">
        <is>
          <t>Servizio TLC 06</t>
        </is>
      </c>
      <c r="F17" t="inlineStr">
        <is>
          <t>Fornitore 10 S.r.l.</t>
        </is>
      </c>
      <c r="G17">
        <f>VLOOKUP(Contratti[[#This Row],[Fornitore]],Tabella2[],2,FALSE)</f>
        <v/>
      </c>
      <c r="H17" s="5" t="n">
        <v>2344.37</v>
      </c>
      <c r="I17" s="5" t="n">
        <v>0</v>
      </c>
      <c r="J17" s="5">
        <f>Contratti[[#This Row],[Corrispettivo Minimo]]+Contratti[[#This Row],[Corrispettivo Extra]]</f>
        <v/>
      </c>
      <c r="K17" s="2" t="n">
        <v>46142</v>
      </c>
      <c r="L17" s="3" t="n">
        <v>12</v>
      </c>
      <c r="M17" s="2">
        <f>IF(Contratti[[#This Row],[Data di attivazione]]=0,"n/a",EDATE(Contratti[[#This Row],[Data di attivazione]],Contratti[[#This Row],[Mesi contratto]])-1)</f>
        <v/>
      </c>
      <c r="N17" s="4">
        <f>IF(Contratti[[#This Row],[Data di scadenza]]="n/a","n/a",EDATE(Contratti[[#This Row],[Data di scadenza]],-6))</f>
        <v/>
      </c>
      <c r="O17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17" t="inlineStr">
        <is>
          <t>Attivo</t>
        </is>
      </c>
    </row>
    <row r="18">
      <c r="A18" t="n">
        <v>5800075244</v>
      </c>
      <c r="B18" t="inlineStr">
        <is>
          <t>BVN3CKY2SJ</t>
        </is>
      </c>
      <c r="C18" t="n">
        <v>627030</v>
      </c>
      <c r="D18" s="1" t="inlineStr">
        <is>
          <t>n/a</t>
        </is>
      </c>
      <c r="E18" t="inlineStr">
        <is>
          <t>Servizio TLC 16</t>
        </is>
      </c>
      <c r="F18" t="inlineStr">
        <is>
          <t>Fornitore 30 S.r.l.</t>
        </is>
      </c>
      <c r="G18">
        <f>VLOOKUP(Contratti[[#This Row],[Fornitore]],Tabella2[],2,FALSE)</f>
        <v/>
      </c>
      <c r="H18" s="5" t="n">
        <v>40767.05</v>
      </c>
      <c r="I18" s="5" t="n">
        <v>13895.55</v>
      </c>
      <c r="J18" s="5">
        <f>Contratti[[#This Row],[Corrispettivo Minimo]]+Contratti[[#This Row],[Corrispettivo Extra]]</f>
        <v/>
      </c>
      <c r="K18" s="2" t="n">
        <v>46063</v>
      </c>
      <c r="L18" s="3" t="n">
        <v>24</v>
      </c>
      <c r="M18" s="2">
        <f>IF(Contratti[[#This Row],[Data di attivazione]]=0,"n/a",EDATE(Contratti[[#This Row],[Data di attivazione]],Contratti[[#This Row],[Mesi contratto]])-1)</f>
        <v/>
      </c>
      <c r="N18" s="4">
        <f>IF(Contratti[[#This Row],[Data di scadenza]]="n/a","n/a",EDATE(Contratti[[#This Row],[Data di scadenza]],-6))</f>
        <v/>
      </c>
      <c r="O18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18" t="inlineStr">
        <is>
          <t>Attivo</t>
        </is>
      </c>
    </row>
    <row r="19">
      <c r="A19" t="n">
        <v>5800576304</v>
      </c>
      <c r="B19" t="inlineStr">
        <is>
          <t>BYTB0ISOWM</t>
        </is>
      </c>
      <c r="C19" t="n">
        <v>627031</v>
      </c>
      <c r="D19" s="1" t="inlineStr">
        <is>
          <t>n/a</t>
        </is>
      </c>
      <c r="E19" t="inlineStr">
        <is>
          <t>Servizio TLC 04</t>
        </is>
      </c>
      <c r="F19" t="inlineStr">
        <is>
          <t>Fornitore 30 S.r.l.</t>
        </is>
      </c>
      <c r="G19">
        <f>VLOOKUP(Contratti[[#This Row],[Fornitore]],Tabella2[],2,FALSE)</f>
        <v/>
      </c>
      <c r="H19" s="5" t="n">
        <v>36625.67</v>
      </c>
      <c r="I19" s="5" t="n">
        <v>0</v>
      </c>
      <c r="J19" s="5">
        <f>Contratti[[#This Row],[Corrispettivo Minimo]]+Contratti[[#This Row],[Corrispettivo Extra]]</f>
        <v/>
      </c>
      <c r="K19" s="2" t="n">
        <v>46113</v>
      </c>
      <c r="L19" s="3" t="n">
        <v>24</v>
      </c>
      <c r="M19" s="2">
        <f>IF(Contratti[[#This Row],[Data di attivazione]]=0,"n/a",EDATE(Contratti[[#This Row],[Data di attivazione]],Contratti[[#This Row],[Mesi contratto]])-1)</f>
        <v/>
      </c>
      <c r="N19" s="4">
        <f>IF(Contratti[[#This Row],[Data di scadenza]]="n/a","n/a",EDATE(Contratti[[#This Row],[Data di scadenza]],-6))</f>
        <v/>
      </c>
      <c r="O19" s="4">
        <f>IF(
   OR(Contratti[[#This Row],[Stato]]="Non rinnovare",
     Contratti[[#This Row],[Stato]]="Rinnovato",
     Contratti[[#This Row],[Stato]]="Scaduto"),
   "",
   IF(
      TODAY()&gt;Contratti[[#This Row],[Data di scadenza]],
      "🔴",
      IF(
         TODAY()&gt;=Contratti[[#This Row],[Periodo rinnovo]],
         "🟠",
         IF(
            TODAY()&gt;=EDATE(Contratti[[#This Row],[Data di scadenza]],-9),
            "🟡",
            "🟢"
         )
      )
   )
)</f>
        <v/>
      </c>
      <c r="P19" t="inlineStr">
        <is>
          <t>Attivo</t>
        </is>
      </c>
    </row>
    <row r="20">
      <c r="A20" t="inlineStr">
        <is>
          <t>Totale</t>
        </is>
      </c>
      <c r="H20" s="5">
        <f>SUBTOTAL(109,Contratti[Corrispettivo Minimo])</f>
        <v/>
      </c>
      <c r="I20" s="5" t="n"/>
      <c r="J20" s="5">
        <f>SUBTOTAL(109,Contratti[Corrispettivo Massimo])</f>
        <v/>
      </c>
    </row>
  </sheetData>
  <dataValidations count="1">
    <dataValidation sqref="P2:P20" showDropDown="0" showInputMessage="0" showErrorMessage="0" allowBlank="0" type="list">
      <formula1>=Stati!$A$1:$A$10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1.83203125" customWidth="1" min="1" max="1"/>
    <col width="12.5" customWidth="1" min="2" max="2"/>
    <col width="12.5" customWidth="1" min="3" max="3"/>
    <col width="9.1640625" customWidth="1" min="4" max="4"/>
    <col width="44.83203125" customWidth="1" min="5" max="5"/>
    <col width="28" customWidth="1" min="6" max="6"/>
    <col width="13.33203125" customWidth="1" min="7" max="7"/>
    <col width="17" customWidth="1" min="8" max="8"/>
    <col width="12.6640625" customWidth="1" min="9" max="9"/>
    <col width="17" customWidth="1" min="10" max="10"/>
    <col width="10.6640625" customWidth="1" min="11" max="11"/>
    <col width="8.6640625" customWidth="1" min="12" max="12"/>
    <col width="11.1640625" customWidth="1" min="13" max="13"/>
    <col width="12.5" customWidth="1" min="14" max="14"/>
    <col width="10.1640625" customWidth="1" min="15" max="15"/>
    <col width="14.6640625" customWidth="1" min="16" max="16"/>
    <col width="34.5" customWidth="1" min="17" max="17"/>
  </cols>
  <sheetData>
    <row r="1">
      <c r="A1" t="inlineStr">
        <is>
          <t>Contratto</t>
        </is>
      </c>
      <c r="B1" t="inlineStr">
        <is>
          <t>Cig</t>
        </is>
      </c>
      <c r="C1" t="inlineStr">
        <is>
          <t>Codice conto dal 01/01/26</t>
        </is>
      </c>
      <c r="D1" s="1" t="inlineStr">
        <is>
          <t>Codice conto</t>
        </is>
      </c>
      <c r="E1" t="inlineStr">
        <is>
          <t>Descrizione</t>
        </is>
      </c>
      <c r="F1" t="inlineStr">
        <is>
          <t>Fornitore</t>
        </is>
      </c>
      <c r="G1" t="inlineStr">
        <is>
          <t>Codice fornitore</t>
        </is>
      </c>
      <c r="H1" t="inlineStr">
        <is>
          <t>Corrispettivo Minimo</t>
        </is>
      </c>
      <c r="I1" t="inlineStr">
        <is>
          <t>Corrispettivo Extra</t>
        </is>
      </c>
      <c r="J1" t="inlineStr">
        <is>
          <t>Corrispettivo Massimo</t>
        </is>
      </c>
      <c r="K1" s="2" t="inlineStr">
        <is>
          <t>Data di attivazione</t>
        </is>
      </c>
      <c r="L1" s="3" t="inlineStr">
        <is>
          <t>Mesi contratto</t>
        </is>
      </c>
      <c r="M1" s="2" t="inlineStr">
        <is>
          <t>Data di scadenza</t>
        </is>
      </c>
      <c r="N1" s="4" t="inlineStr">
        <is>
          <t>Periodo rinnovo</t>
        </is>
      </c>
      <c r="O1" s="4" t="inlineStr">
        <is>
          <t>Alert</t>
        </is>
      </c>
      <c r="P1" t="inlineStr">
        <is>
          <t>Stato</t>
        </is>
      </c>
      <c r="Q1" t="inlineStr">
        <is>
          <t>Note</t>
        </is>
      </c>
    </row>
    <row r="2">
      <c r="A2" t="inlineStr">
        <is>
          <t>OA1 349/25</t>
        </is>
      </c>
      <c r="B2" t="inlineStr">
        <is>
          <t>B3SM601BSG</t>
        </is>
      </c>
      <c r="C2" t="n">
        <v>627031</v>
      </c>
      <c r="D2" s="1" t="n">
        <v>627031</v>
      </c>
      <c r="E2" t="inlineStr">
        <is>
          <t>Servizio TLC 17</t>
        </is>
      </c>
      <c r="F2" t="inlineStr">
        <is>
          <t>Fornitore 32 S.r.l.</t>
        </is>
      </c>
      <c r="G2">
        <f>VLOOKUP(Contratti4[[#This Row],[Fornitore]],Tabella2[],2,FALSE)</f>
        <v/>
      </c>
      <c r="H2" s="5" t="n">
        <v>47081.6</v>
      </c>
      <c r="I2" s="5" t="n">
        <v>0</v>
      </c>
      <c r="J2" s="5">
        <f>Contratti4[[#This Row],[Corrispettivo Minimo]]+Contratti4[[#This Row],[Corrispettivo Extra]]</f>
        <v/>
      </c>
      <c r="K2" s="2" t="n">
        <v>46042</v>
      </c>
      <c r="L2" s="3" t="n">
        <v>24</v>
      </c>
      <c r="M2" s="2">
        <f>IF(Contratti4[[#This Row],[Data di attivazione]]=0,"n/a",EDATE(Contratti4[[#This Row],[Data di attivazione]],Contratti4[[#This Row],[Mesi contratto]])-1)</f>
        <v/>
      </c>
      <c r="N2" s="4">
        <f>IF(Contratti4[[#This Row],[Data di scadenza]]="n/a","n/a",EDATE(Contratti4[[#This Row],[Data di scadenza]],-6))</f>
        <v/>
      </c>
      <c r="O2" s="4">
        <f>IF(
   OR(Contratti4[[#This Row],[Stato]]="Non rinnovare",
     Contratti4[[#This Row],[Stato]]="Rinnovato",
     Contratti4[[#This Row],[Stato]]="Scaduto"),
   "",
   IF(
      TODAY()&gt;Contratti4[[#This Row],[Data di scadenza]],
      "🔴",
      IF(
         TODAY()&gt;=Contratti4[[#This Row],[Periodo rinnovo]],
         "🟠",
         IF(
            TODAY()&gt;=EDATE(Contratti4[[#This Row],[Data di scadenza]],-9),
            "🟡",
            "🟢"
         )
      )
   )
)</f>
        <v/>
      </c>
      <c r="P2" t="inlineStr">
        <is>
          <t>Attivo</t>
        </is>
      </c>
    </row>
    <row r="3">
      <c r="A3" t="n">
        <v>5800092713</v>
      </c>
      <c r="B3" t="inlineStr">
        <is>
          <t>B2XS454HEK</t>
        </is>
      </c>
      <c r="C3" t="n">
        <v>627031</v>
      </c>
      <c r="D3" s="1" t="n"/>
      <c r="E3" t="inlineStr">
        <is>
          <t>Servizio TLC 18</t>
        </is>
      </c>
      <c r="F3" t="inlineStr">
        <is>
          <t>Fornitore 30 S.r.l.</t>
        </is>
      </c>
      <c r="G3">
        <f>VLOOKUP(Contratti4[[#This Row],[Fornitore]],Tabella2[],2,FALSE)</f>
        <v/>
      </c>
      <c r="H3" s="5" t="n">
        <v>10102.08</v>
      </c>
      <c r="I3" s="5" t="n">
        <v>0</v>
      </c>
      <c r="J3" s="5">
        <f>Contratti4[[#This Row],[Corrispettivo Minimo]]+Contratti4[[#This Row],[Corrispettivo Extra]]</f>
        <v/>
      </c>
      <c r="K3" s="2" t="n">
        <v>46042</v>
      </c>
      <c r="L3" s="3" t="n">
        <v>24</v>
      </c>
      <c r="M3" s="2">
        <f>IF(Contratti4[[#This Row],[Data di attivazione]]=0,"n/a",EDATE(Contratti4[[#This Row],[Data di attivazione]],Contratti4[[#This Row],[Mesi contratto]])-1)</f>
        <v/>
      </c>
      <c r="N3" s="4">
        <f>IF(Contratti4[[#This Row],[Data di scadenza]]="n/a","n/a",EDATE(Contratti4[[#This Row],[Data di scadenza]],-6))</f>
        <v/>
      </c>
      <c r="O3" s="4">
        <f>IF(
   OR(Contratti4[[#This Row],[Stato]]="Non rinnovare",
     Contratti4[[#This Row],[Stato]]="Rinnovato",
     Contratti4[[#This Row],[Stato]]="Scaduto"),
   "",
   IF(
      TODAY()&gt;Contratti4[[#This Row],[Data di scadenza]],
      "🔴",
      IF(
         TODAY()&gt;=Contratti4[[#This Row],[Periodo rinnovo]],
         "🟠",
         IF(
            TODAY()&gt;=EDATE(Contratti4[[#This Row],[Data di scadenza]],-9),
            "🟡",
            "🟢"
         )
      )
   )
)</f>
        <v/>
      </c>
      <c r="P3" t="inlineStr">
        <is>
          <t>Attivo</t>
        </is>
      </c>
    </row>
    <row r="4">
      <c r="A4" t="n">
        <v>5800115671</v>
      </c>
      <c r="B4" t="inlineStr">
        <is>
          <t>BZQ3T9RQ4G</t>
        </is>
      </c>
      <c r="C4" t="n">
        <v>627031</v>
      </c>
      <c r="D4" s="1" t="n"/>
      <c r="E4" t="inlineStr">
        <is>
          <t>Servizio TLC 19</t>
        </is>
      </c>
      <c r="F4" t="inlineStr">
        <is>
          <t>Fornitore 30 S.r.l.</t>
        </is>
      </c>
      <c r="G4">
        <f>VLOOKUP(Contratti4[[#This Row],[Fornitore]],Tabella2[],2,FALSE)</f>
        <v/>
      </c>
      <c r="H4" s="5" t="n">
        <v>8085.76</v>
      </c>
      <c r="I4" s="5" t="n">
        <v>0</v>
      </c>
      <c r="J4" s="5">
        <f>Contratti4[[#This Row],[Corrispettivo Minimo]]+Contratti4[[#This Row],[Corrispettivo Extra]]</f>
        <v/>
      </c>
      <c r="K4" s="2" t="n">
        <v>46070</v>
      </c>
      <c r="L4" s="3" t="n">
        <v>24</v>
      </c>
      <c r="M4" s="2">
        <f>IF(Contratti4[[#This Row],[Data di attivazione]]=0,"n/a",EDATE(Contratti4[[#This Row],[Data di attivazione]],Contratti4[[#This Row],[Mesi contratto]])-1)</f>
        <v/>
      </c>
      <c r="N4" s="4">
        <f>IF(Contratti4[[#This Row],[Data di scadenza]]="n/a","n/a",EDATE(Contratti4[[#This Row],[Data di scadenza]],-6))</f>
        <v/>
      </c>
      <c r="O4" s="4">
        <f>IF(
   OR(Contratti4[[#This Row],[Stato]]="Non rinnovare",
     Contratti4[[#This Row],[Stato]]="Rinnovato",
     Contratti4[[#This Row],[Stato]]="Scaduto"),
   "",
   IF(
      TODAY()&gt;Contratti4[[#This Row],[Data di scadenza]],
      "🔴",
      IF(
         TODAY()&gt;=Contratti4[[#This Row],[Periodo rinnovo]],
         "🟠",
         IF(
            TODAY()&gt;=EDATE(Contratti4[[#This Row],[Data di scadenza]],-9),
            "🟡",
            "🟢"
         )
      )
   )
)</f>
        <v/>
      </c>
      <c r="P4" t="inlineStr">
        <is>
          <t>Attivo</t>
        </is>
      </c>
    </row>
    <row r="5">
      <c r="A5" t="n">
        <v>5800466451</v>
      </c>
      <c r="B5" t="inlineStr">
        <is>
          <t>BCS76AI328</t>
        </is>
      </c>
      <c r="C5" t="n">
        <v>627031</v>
      </c>
      <c r="D5" s="1" t="n"/>
      <c r="E5" t="inlineStr">
        <is>
          <t>Servizio TLC 20</t>
        </is>
      </c>
      <c r="F5" t="inlineStr">
        <is>
          <t>Fornitore 30 S.r.l.</t>
        </is>
      </c>
      <c r="G5">
        <f>VLOOKUP(Contratti4[[#This Row],[Fornitore]],Tabella2[],2,FALSE)</f>
        <v/>
      </c>
      <c r="H5" s="5" t="n">
        <v>21362.28</v>
      </c>
      <c r="I5" s="5" t="n">
        <v>0</v>
      </c>
      <c r="J5" s="5">
        <f>Contratti4[[#This Row],[Corrispettivo Minimo]]+Contratti4[[#This Row],[Corrispettivo Extra]]</f>
        <v/>
      </c>
      <c r="K5" s="2" t="n"/>
      <c r="L5" s="3" t="n">
        <v>24</v>
      </c>
      <c r="M5" s="2">
        <f>IF(Contratti4[[#This Row],[Data di attivazione]]=0,"n/a",EDATE(Contratti4[[#This Row],[Data di attivazione]],Contratti4[[#This Row],[Mesi contratto]])-1)</f>
        <v/>
      </c>
      <c r="N5" s="4">
        <f>IF(Contratti4[[#This Row],[Data di scadenza]]="n/a","n/a",EDATE(Contratti4[[#This Row],[Data di scadenza]],-6))</f>
        <v/>
      </c>
      <c r="O5" s="4">
        <f>IF(
   OR(Contratti4[[#This Row],[Stato]]="Non rinnovare",
     Contratti4[[#This Row],[Stato]]="Rinnovato",
     Contratti4[[#This Row],[Stato]]="Scaduto"),
   "",
   IF(
      TODAY()&gt;Contratti4[[#This Row],[Data di scadenza]],
      "🔴",
      IF(
         TODAY()&gt;=Contratti4[[#This Row],[Periodo rinnovo]],
         "🟠",
         IF(
            TODAY()&gt;=EDATE(Contratti4[[#This Row],[Data di scadenza]],-9),
            "🟡",
            "🟢"
         )
      )
   )
)</f>
        <v/>
      </c>
      <c r="P5" t="inlineStr">
        <is>
          <t>Attivo</t>
        </is>
      </c>
    </row>
    <row r="6">
      <c r="A6" t="n">
        <v>5800702833</v>
      </c>
      <c r="B6" t="inlineStr">
        <is>
          <t>BV9QW6O41U</t>
        </is>
      </c>
      <c r="C6" t="n">
        <v>627031</v>
      </c>
      <c r="D6" s="1" t="n"/>
      <c r="E6" t="inlineStr">
        <is>
          <t>Servizio TLC 21</t>
        </is>
      </c>
      <c r="F6" t="inlineStr">
        <is>
          <t>Fornitore 30 S.r.l.</t>
        </is>
      </c>
      <c r="G6">
        <f>VLOOKUP(Contratti4[[#This Row],[Fornitore]],Tabella2[],2,FALSE)</f>
        <v/>
      </c>
      <c r="H6" s="5" t="n">
        <v>22214.03</v>
      </c>
      <c r="I6" s="5" t="n">
        <v>0</v>
      </c>
      <c r="J6" s="5">
        <f>Contratti4[[#This Row],[Corrispettivo Minimo]]+Contratti4[[#This Row],[Corrispettivo Extra]]</f>
        <v/>
      </c>
      <c r="K6" s="2" t="n">
        <v>46042</v>
      </c>
      <c r="L6" s="3" t="n">
        <v>24</v>
      </c>
      <c r="M6" s="2">
        <f>IF(Contratti4[[#This Row],[Data di attivazione]]=0,"n/a",EDATE(Contratti4[[#This Row],[Data di attivazione]],Contratti4[[#This Row],[Mesi contratto]])-1)</f>
        <v/>
      </c>
      <c r="N6" s="4">
        <f>IF(Contratti4[[#This Row],[Data di scadenza]]="n/a","n/a",EDATE(Contratti4[[#This Row],[Data di scadenza]],-6))</f>
        <v/>
      </c>
      <c r="O6" s="4">
        <f>IF(
   OR(Contratti4[[#This Row],[Stato]]="Non rinnovare",
     Contratti4[[#This Row],[Stato]]="Rinnovato",
     Contratti4[[#This Row],[Stato]]="Scaduto"),
   "",
   IF(
      TODAY()&gt;Contratti4[[#This Row],[Data di scadenza]],
      "🔴",
      IF(
         TODAY()&gt;=Contratti4[[#This Row],[Periodo rinnovo]],
         "🟠",
         IF(
            TODAY()&gt;=EDATE(Contratti4[[#This Row],[Data di scadenza]],-9),
            "🟡",
            "🟢"
         )
      )
   )
)</f>
        <v/>
      </c>
      <c r="P6" t="inlineStr">
        <is>
          <t>Attivo</t>
        </is>
      </c>
    </row>
    <row r="7">
      <c r="A7" t="inlineStr">
        <is>
          <t>Totale</t>
        </is>
      </c>
      <c r="H7" s="5">
        <f>SUBTOTAL(109,Contratti4[Corrispettivo Minimo])</f>
        <v/>
      </c>
      <c r="I7" s="5" t="n"/>
      <c r="J7" s="5">
        <f>SUBTOTAL(109,Contratti4[Corrispettivo Massimo])</f>
        <v/>
      </c>
    </row>
  </sheetData>
  <dataValidations count="1">
    <dataValidation sqref="P2:P7" showDropDown="0" showInputMessage="0" showErrorMessage="0" allowBlank="0" type="list">
      <formula1>=Stati!$A$1:$A$10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Attivo</t>
        </is>
      </c>
    </row>
    <row r="2">
      <c r="A2" t="inlineStr">
        <is>
          <t>RDA Richiesta</t>
        </is>
      </c>
    </row>
    <row r="3">
      <c r="A3" t="inlineStr">
        <is>
          <t>Offerta richiesta</t>
        </is>
      </c>
    </row>
    <row r="4">
      <c r="A4" t="inlineStr">
        <is>
          <t>Offerta ricevuta</t>
        </is>
      </c>
    </row>
    <row r="5">
      <c r="A5" t="inlineStr">
        <is>
          <t>In scadenza</t>
        </is>
      </c>
    </row>
    <row r="6">
      <c r="A6" t="inlineStr">
        <is>
          <t>Da rinnovare</t>
        </is>
      </c>
    </row>
    <row r="7">
      <c r="A7" t="inlineStr">
        <is>
          <t>Non rinnovare</t>
        </is>
      </c>
    </row>
    <row r="8">
      <c r="A8" t="inlineStr">
        <is>
          <t>RDA Predisposta</t>
        </is>
      </c>
    </row>
    <row r="9">
      <c r="A9" t="inlineStr">
        <is>
          <t>Rinnovato</t>
        </is>
      </c>
    </row>
    <row r="10">
      <c r="A10" t="inlineStr">
        <is>
          <t>Scaduto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Fornitore</t>
        </is>
      </c>
      <c r="B1" t="inlineStr">
        <is>
          <t>Codice SAP</t>
        </is>
      </c>
    </row>
    <row r="2">
      <c r="A2" t="inlineStr">
        <is>
          <t>Fornitore 12 S.r.l.</t>
        </is>
      </c>
      <c r="B2" t="inlineStr">
        <is>
          <t>467543</t>
        </is>
      </c>
    </row>
    <row r="3">
      <c r="A3" t="inlineStr">
        <is>
          <t>Fornitore 03 S.r.l.</t>
        </is>
      </c>
    </row>
    <row r="4">
      <c r="A4" t="inlineStr">
        <is>
          <t>Fornitore 06 S.r.l.</t>
        </is>
      </c>
      <c r="B4" t="inlineStr">
        <is>
          <t>489442</t>
        </is>
      </c>
    </row>
    <row r="5">
      <c r="A5" t="inlineStr">
        <is>
          <t>Fornitore 14 S.r.l.</t>
        </is>
      </c>
      <c r="B5" t="inlineStr">
        <is>
          <t>350121</t>
        </is>
      </c>
    </row>
    <row r="6">
      <c r="A6" t="inlineStr">
        <is>
          <t>Fornitore 16 S.r.l.</t>
        </is>
      </c>
    </row>
    <row r="7">
      <c r="A7" t="inlineStr">
        <is>
          <t>Fornitore 04 S.r.l.</t>
        </is>
      </c>
      <c r="B7" t="inlineStr">
        <is>
          <t>323545</t>
        </is>
      </c>
    </row>
    <row r="8">
      <c r="A8" t="inlineStr">
        <is>
          <t>Fornitore 25 S.r.l.</t>
        </is>
      </c>
    </row>
    <row r="9">
      <c r="A9" t="inlineStr">
        <is>
          <t>Fornitore 28 S.r.l.</t>
        </is>
      </c>
      <c r="B9" t="inlineStr">
        <is>
          <t>350121</t>
        </is>
      </c>
    </row>
    <row r="10">
      <c r="A10" t="inlineStr">
        <is>
          <t>Fornitore 01 S.r.l.</t>
        </is>
      </c>
    </row>
    <row r="11">
      <c r="A11" t="inlineStr">
        <is>
          <t>Fornitore 05 S.r.l.</t>
        </is>
      </c>
    </row>
    <row r="12">
      <c r="A12" t="inlineStr">
        <is>
          <t>Fornitore 23 S.r.l.</t>
        </is>
      </c>
    </row>
    <row r="13">
      <c r="A13" t="inlineStr">
        <is>
          <t>Fornitore 27 S.r.l.</t>
        </is>
      </c>
    </row>
    <row r="14">
      <c r="A14" t="inlineStr">
        <is>
          <t>Fornitore 29 S.r.l.</t>
        </is>
      </c>
    </row>
    <row r="15">
      <c r="A15" t="inlineStr">
        <is>
          <t>Fornitore 13 S.r.l.</t>
        </is>
      </c>
      <c r="B15" t="inlineStr">
        <is>
          <t>350121</t>
        </is>
      </c>
    </row>
    <row r="16">
      <c r="A16" t="inlineStr">
        <is>
          <t>Fornitore 07 S.r.l.</t>
        </is>
      </c>
    </row>
    <row r="17">
      <c r="A17" t="inlineStr">
        <is>
          <t>Fornitore 19 S.r.l.</t>
        </is>
      </c>
    </row>
    <row r="18">
      <c r="A18" t="inlineStr">
        <is>
          <t>Fornitore 18 S.r.l.</t>
        </is>
      </c>
    </row>
    <row r="19">
      <c r="A19" t="inlineStr">
        <is>
          <t>Fornitore 22 S.r.l.</t>
        </is>
      </c>
    </row>
    <row r="20">
      <c r="A20" t="inlineStr">
        <is>
          <t>Fornitore 02 S.r.l.</t>
        </is>
      </c>
      <c r="B20" t="inlineStr">
        <is>
          <t>253422</t>
        </is>
      </c>
    </row>
    <row r="21">
      <c r="A21" t="inlineStr">
        <is>
          <t>Fornitore 10 S.r.l.</t>
        </is>
      </c>
      <c r="B21" t="inlineStr">
        <is>
          <t>350121</t>
        </is>
      </c>
    </row>
    <row r="22">
      <c r="A22" t="inlineStr">
        <is>
          <t>Fornitore 08 S.r.l.</t>
        </is>
      </c>
    </row>
    <row r="23">
      <c r="A23" t="inlineStr">
        <is>
          <t>Fornitore 09 S.r.l.</t>
        </is>
      </c>
    </row>
    <row r="24">
      <c r="A24" t="inlineStr">
        <is>
          <t>Fornitore 20 S.r.l.</t>
        </is>
      </c>
    </row>
    <row r="25">
      <c r="A25" t="inlineStr">
        <is>
          <t>Fornitore 17 S.r.l.</t>
        </is>
      </c>
    </row>
    <row r="26">
      <c r="A26" t="inlineStr">
        <is>
          <t>Fornitore 11 S.r.l.</t>
        </is>
      </c>
    </row>
    <row r="27">
      <c r="A27" t="inlineStr">
        <is>
          <t>Fornitore 21 S.r.l.</t>
        </is>
      </c>
    </row>
    <row r="28">
      <c r="A28" t="inlineStr">
        <is>
          <t>Fornitore 15 S.r.l.</t>
        </is>
      </c>
    </row>
    <row r="29">
      <c r="A29" t="inlineStr">
        <is>
          <t>Fornitore 24 S.r.l.</t>
        </is>
      </c>
    </row>
    <row r="30">
      <c r="A30" t="inlineStr">
        <is>
          <t>Fornitore 30 S.r.l.</t>
        </is>
      </c>
      <c r="B30" t="inlineStr">
        <is>
          <t>272090</t>
        </is>
      </c>
    </row>
    <row r="31">
      <c r="A31" t="inlineStr">
        <is>
          <t>Fornitore 34 S.r.l.</t>
        </is>
      </c>
    </row>
    <row r="32">
      <c r="A32" t="inlineStr">
        <is>
          <t>Fornitore 32 S.r.l.</t>
        </is>
      </c>
      <c r="B32" t="inlineStr">
        <is>
          <t>397986</t>
        </is>
      </c>
    </row>
    <row r="33">
      <c r="A33" t="inlineStr">
        <is>
          <t>Fornitore 10 S.r.l.</t>
        </is>
      </c>
      <c r="B33" t="inlineStr">
        <is>
          <t>350121</t>
        </is>
      </c>
    </row>
    <row r="34">
      <c r="A34" t="inlineStr">
        <is>
          <t>Fornitore 35 S.r.l.</t>
        </is>
      </c>
      <c r="B34" t="inlineStr">
        <is>
          <t>119030</t>
        </is>
      </c>
    </row>
    <row r="35">
      <c r="A35" t="inlineStr">
        <is>
          <t>Fornitore 33 S.r.l.</t>
        </is>
      </c>
    </row>
    <row r="36">
      <c r="A36" t="inlineStr">
        <is>
          <t>Fornitore 31 S.r.l.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2026-09-30T19:31:32Z</dcterms:created>
  <dcterms:modified xmlns:dcterms="http://purl.org/dc/terms/" xmlns:xsi="http://www.w3.org/2001/XMLSchema-instance" xsi:type="dcterms:W3CDTF">2026-09-30T19:31:32Z</dcterms:modified>
</cp:coreProperties>
</file>